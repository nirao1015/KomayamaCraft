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4e22f4af5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95fee58e792741b3"/>
    <x:sheet xmlns:r="http://schemas.openxmlformats.org/officeDocument/2006/relationships" name="原素材総量" sheetId="2" r:id="R34a5feceff654372"/>
    <x:sheet xmlns:r="http://schemas.openxmlformats.org/officeDocument/2006/relationships" name="中間品総量" sheetId="3" r:id="R9756b5d1c889426a"/>
    <x:sheet xmlns:r="http://schemas.openxmlformats.org/officeDocument/2006/relationships" name="新レシピ" sheetId="4" r:id="R95ecab54f9954aa4"/>
    <x:sheet xmlns:r="http://schemas.openxmlformats.org/officeDocument/2006/relationships" name="選別設定" sheetId="5" r:id="Rd7c8acc615474746"/>
    <x:sheet xmlns:r="http://schemas.openxmlformats.org/officeDocument/2006/relationships" name="名称対照" sheetId="6" r:id="Rf47c248ef2374cc2"/>
    <x:sheet xmlns:r="http://schemas.openxmlformats.org/officeDocument/2006/relationships" name="対応表" sheetId="7" r:id="R73f0eead18554264"/>
    <x:sheet xmlns:r="http://schemas.openxmlformats.org/officeDocument/2006/relationships" name="展開明細" sheetId="8" r:id="R934f682dea30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&quot;Tier &quot;0"/>
    <x:numFmt numFmtId="202" formatCode="0%"/>
    <x:numFmt numFmtId="203" formatCode="#,##0.0"/>
  </x:numFmts>
  <x:fonts count="5">
    <x:font>
      <x:sz val="11"/>
      <x:name val="Carlito"/>
    </x:font>
    <x:font>
      <x:b/>
      <x:sz val="15"/>
      <x:color rgb="FF202630"/>
      <x:name val="Carlito"/>
    </x:font>
    <x:font>
      <x:b/>
      <x:sz val="10"/>
      <x:color rgb="FF202630"/>
      <x:name val="Carlito"/>
    </x:font>
    <x:font>
      <x:sz val="10"/>
      <x:color rgb="FF202630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8F0F2"/>
      </x:patternFill>
    </x:fill>
    <x:fill>
      <x:patternFill patternType="solid">
        <x:fgColor rgb="FF243247"/>
      </x:patternFill>
    </x:fill>
    <x:fill>
      <x:patternFill patternType="solid">
        <x:fgColor rgb="FFF6F0E4"/>
      </x:patternFill>
    </x:fill>
    <x:fill>
      <x:patternFill patternType="solid">
        <x:fgColor rgb="FFDDEBDF"/>
      </x:patternFill>
    </x:fill>
    <x:fill>
      <x:patternFill patternType="solid">
        <x:fgColor rgb="FFFFF1CC"/>
      </x:patternFill>
    </x:fill>
  </x:fills>
  <x:borders count="6">
    <x:border/>
    <x:border>
      <x:bottom style="medium">
        <x:color rgb="FFD7A84B"/>
      </x:bottom>
    </x:border>
    <x:border>
      <x:bottom style="thin">
        <x:color rgb="FFCCD5DB"/>
      </x:bottom>
    </x:border>
    <x:border>
      <x:right style="thin">
        <x:color rgb="FFFFFFFF"/>
      </x:right>
      <x:bottom style="thin">
        <x:color rgb="FF243247"/>
      </x:bottom>
    </x:border>
    <x:border>
      <x:left style="thin">
        <x:color rgb="FFFFFFFF"/>
      </x:left>
      <x:right style="thin">
        <x:color rgb="FFFFFFFF"/>
      </x:right>
      <x:bottom style="thin">
        <x:color rgb="FF243247"/>
      </x:bottom>
    </x:border>
    <x:border>
      <x:left style="thin">
        <x:color rgb="FFFFFFFF"/>
      </x:left>
      <x:bottom style="thin">
        <x:color rgb="FF243247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2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3" fillId="0" xfId="0" applyNumberFormat="1" applyFont="1" applyFill="1" applyBorder="0" applyAlignment="1">
      <x:alignment vertical="center"/>
    </x:xf>
    <x:xf numFmtId="200" fontId="3" fillId="0" xfId="0" applyNumberFormat="1" applyFont="1" applyFill="1" applyBorder="0" applyAlignment="1">
      <x:alignment vertical="center"/>
    </x:xf>
    <x:xf numFmtId="0" fontId="0" fillId="0" xfId="0" applyNumberFormat="1" applyFont="1" applyFill="1" applyBorder="0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d1003014045aa" /><Relationship Type="http://schemas.openxmlformats.org/officeDocument/2006/relationships/theme" Target="/xl/theme/theme1.xml" Id="Ree879c38054b4162" /><Relationship Type="http://schemas.openxmlformats.org/officeDocument/2006/relationships/sharedStrings" Target="/xl/sharedStrings.xml" Id="Re4ce047ecc3548cf" /><Relationship Type="http://schemas.openxmlformats.org/officeDocument/2006/relationships/worksheet" Target="/xl/worksheets/sheet1.xml" Id="R95fee58e792741b3" /><Relationship Type="http://schemas.openxmlformats.org/officeDocument/2006/relationships/worksheet" Target="/xl/worksheets/sheet2.xml" Id="R34a5feceff654372" /><Relationship Type="http://schemas.openxmlformats.org/officeDocument/2006/relationships/worksheet" Target="/xl/worksheets/sheet3.xml" Id="R9756b5d1c889426a" /><Relationship Type="http://schemas.openxmlformats.org/officeDocument/2006/relationships/worksheet" Target="/xl/worksheets/sheet4.xml" Id="R95ecab54f9954aa4" /><Relationship Type="http://schemas.openxmlformats.org/officeDocument/2006/relationships/worksheet" Target="/xl/worksheets/sheet5.xml" Id="Rd7c8acc615474746" /><Relationship Type="http://schemas.openxmlformats.org/officeDocument/2006/relationships/worksheet" Target="/xl/worksheets/sheet6.xml" Id="Rf47c248ef2374cc2" /><Relationship Type="http://schemas.openxmlformats.org/officeDocument/2006/relationships/worksheet" Target="/xl/worksheets/sheet7.xml" Id="R73f0eead18554264" /><Relationship Type="http://schemas.openxmlformats.org/officeDocument/2006/relationships/worksheet" Target="/xl/worksheets/sheet8.xml" Id="R934f682dea3047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247"/>
  </x:sheetPr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8" hidden="0" customWidth="1"/>
    <x:col min="4" max="4" width="30" hidden="0" customWidth="1"/>
    <x:col min="6" max="6" width="16" hidden="0" customWidth="1"/>
    <x:col min="7" max="7" width="12" hidden="0" customWidth="1"/>
  </x:cols>
  <x:sheetData>
    <x:row r="2" ht="18" hidden="0" customHeight="1">
      <x:c r="A2" s="35" t="str">
        <x:v>『宇宙船は現地改修！』星間跳躍機関 生産設計</x:v>
      </x:c>
      <x:c r="B2" s="36"/>
      <x:c r="C2" s="36"/>
      <x:c r="D2" s="36"/>
      <x:c r="E2" s="36"/>
      <x:c r="F2" s="36"/>
      <x:c r="G2" s="36"/>
      <x:c r="H2" s="36"/>
    </x:row>
    <x:row r="3" ht="15" hidden="0" customHeight="1">
      <x:c r="A3" s="37"/>
      <x:c r="B3" s="37"/>
      <x:c r="C3" s="37"/>
      <x:c r="D3" s="37"/>
      <x:c r="E3" s="37"/>
      <x:c r="F3" s="37"/>
      <x:c r="G3" s="37"/>
      <x:c r="H3" s="37"/>
    </x:row>
    <x:row r="4" ht="15" hidden="0" customHeight="1">
      <x:c r="A4" s="36"/>
      <x:c r="B4" s="36"/>
      <x:c r="C4" s="36"/>
      <x:c r="D4" s="36"/>
      <x:c r="E4" s="36"/>
      <x:c r="F4" s="36"/>
      <x:c r="G4" s="36"/>
      <x:c r="H4" s="36"/>
    </x:row>
    <x:row r="5" ht="15" hidden="0" customHeight="1">
      <x:c r="A5" s="6" t="str">
        <x:v>最終目標</x:v>
      </x:c>
      <x:c r="B5" s="7" t="str">
        <x:v>星間跳躍機関 / Starjump Drive ×1</x:v>
      </x:c>
      <x:c r="C5" s="36"/>
      <x:c r="D5" s="36"/>
      <x:c r="E5" s="36"/>
      <x:c r="F5" s="15" t="str">
        <x:v>原素材</x:v>
      </x:c>
      <x:c r="G5" s="17" t="str">
        <x:v>必要数</x:v>
      </x:c>
      <x:c r="H5" s="36"/>
    </x:row>
    <x:row r="6" ht="15" hidden="0" customHeight="1">
      <x:c r="A6" s="6" t="str">
        <x:v>工程</x:v>
      </x:c>
      <x:c r="B6" s="7" t="str">
        <x:v>基礎加工・熱嚢選別 → 共生組立 → 位相工作 → 最終組立</x:v>
      </x:c>
      <x:c r="C6" s="36"/>
      <x:c r="D6" s="36"/>
      <x:c r="E6" s="36"/>
      <x:c r="F6" s="7" t="str">
        <x:v>鉄鱗</x:v>
      </x:c>
      <x:c r="G6" s="10" t="n">
        <x:v>138</x:v>
      </x:c>
      <x:c r="H6" s="36"/>
    </x:row>
    <x:row r="7" ht="15" hidden="0" customHeight="1">
      <x:c r="A7" s="6" t="str">
        <x:v>Tier1施設</x:v>
      </x:c>
      <x:c r="B7" s="7" t="str">
        <x:v>基礎加工台 / Prep Bench、熱嚢選別機 / Sac Sorter</x:v>
      </x:c>
      <x:c r="C7" s="36"/>
      <x:c r="D7" s="36"/>
      <x:c r="E7" s="36"/>
      <x:c r="F7" s="7" t="str">
        <x:v>熱嚢</x:v>
      </x:c>
      <x:c r="G7" s="10" t="n">
        <x:v>120</x:v>
      </x:c>
      <x:c r="H7" s="36"/>
    </x:row>
    <x:row r="8" ht="15" hidden="0" customHeight="1">
      <x:c r="A8" s="6" t="str">
        <x:v>原素材種</x:v>
      </x:c>
      <x:c r="B8" s="7" t="n">
        <x:v>6</x:v>
      </x:c>
      <x:c r="C8" s="36"/>
      <x:c r="D8" s="36"/>
      <x:c r="E8" s="36"/>
      <x:c r="F8" s="7" t="str">
        <x:v>磁角</x:v>
      </x:c>
      <x:c r="G8" s="10" t="n">
        <x:v>266</x:v>
      </x:c>
      <x:c r="H8" s="36"/>
    </x:row>
    <x:row r="9" ht="15" hidden="0" customHeight="1">
      <x:c r="A9" s="6" t="str">
        <x:v>原素材総数</x:v>
      </x:c>
      <x:c r="B9" s="10" t="n">
        <x:v>966</x:v>
      </x:c>
      <x:c r="C9" s="36"/>
      <x:c r="D9" s="36"/>
      <x:c r="E9" s="36"/>
      <x:c r="F9" s="7" t="str">
        <x:v>星紋晶</x:v>
      </x:c>
      <x:c r="G9" s="10" t="n">
        <x:v>44</x:v>
      </x:c>
      <x:c r="H9" s="36"/>
    </x:row>
    <x:row r="10" ht="15" hidden="0" customHeight="1">
      <x:c r="A10" s="8" t="str">
        <x:v>集計条件</x:v>
      </x:c>
      <x:c r="B10" s="9" t="str">
        <x:v>施設建設費を除外。選別回数は期待値を満たす必要回数</x:v>
      </x:c>
      <x:c r="C10" s="36"/>
      <x:c r="D10" s="36"/>
      <x:c r="E10" s="36"/>
      <x:c r="F10" s="7" t="str">
        <x:v>位相片</x:v>
      </x:c>
      <x:c r="G10" s="10" t="n">
        <x:v>48</x:v>
      </x:c>
      <x:c r="H10" s="36"/>
    </x:row>
    <x:row r="11" ht="15" hidden="0" customHeight="1">
      <x:c r="A11" s="36"/>
      <x:c r="B11" s="36"/>
      <x:c r="C11" s="36"/>
      <x:c r="D11" s="36"/>
      <x:c r="E11" s="36"/>
      <x:c r="F11" s="7" t="str">
        <x:v>軌道絹</x:v>
      </x:c>
      <x:c r="G11" s="10" t="n">
        <x:v>350</x:v>
      </x:c>
      <x:c r="H11" s="36"/>
    </x:row>
    <x:row r="12" ht="15" hidden="0" customHeight="1">
      <x:c r="A12" s="15" t="str">
        <x:v>段階</x:v>
      </x:c>
      <x:c r="B12" s="16" t="str">
        <x:v>施設（日本語 / English）</x:v>
      </x:c>
      <x:c r="C12" s="16" t="str">
        <x:v>主な完成品</x:v>
      </x:c>
      <x:c r="D12" s="17" t="str">
        <x:v>役割</x:v>
      </x:c>
      <x:c r="E12" s="36"/>
      <x:c r="F12" s="9"/>
      <x:c r="G12" s="20"/>
      <x:c r="H12" s="36"/>
    </x:row>
    <x:row r="13" ht="24" hidden="0" customHeight="1">
      <x:c r="A13" s="18" t="str">
        <x:v>Tier 1</x:v>
      </x:c>
      <x:c r="B13" s="18" t="str">
        <x:v>基礎加工台 / Prep Bench
熱嚢選別機 / Sac Sorter</x:v>
      </x:c>
      <x:c r="C13" s="18" t="str">
        <x:v>鱗鉄板・磁束線・選別素材ほか</x:v>
      </x:c>
      <x:c r="D13" s="18" t="str">
        <x:v>共通加工と確率選別</x:v>
      </x:c>
      <x:c r="E13" s="36"/>
      <x:c r="F13" s="36"/>
      <x:c r="G13" s="36"/>
      <x:c r="H13" s="36"/>
    </x:row>
    <x:row r="14" ht="15" hidden="0" customHeight="1">
      <x:c r="A14" s="18" t="str">
        <x:v>Tier 2</x:v>
      </x:c>
      <x:c r="B14" s="18" t="str">
        <x:v>共生組立槽 / Symbio Vat</x:v>
      </x:c>
      <x:c r="C14" s="18" t="str">
        <x:v>生体配線・磁束コイル・星紋回路ほか</x:v>
      </x:c>
      <x:c r="D14" s="18" t="str">
        <x:v>異種素材を共生成形</x:v>
      </x:c>
      <x:c r="E14" s="36"/>
      <x:c r="F14" s="36"/>
      <x:c r="G14" s="36"/>
      <x:c r="H14" s="36"/>
    </x:row>
    <x:row r="15" ht="15" hidden="0" customHeight="1">
      <x:c r="A15" s="18" t="str">
        <x:v>Tier 3</x:v>
      </x:c>
      <x:c r="B15" s="18" t="str">
        <x:v>位相工作機 / Phase Mill</x:v>
      </x:c>
      <x:c r="C15" s="18" t="str">
        <x:v>航法核・位相環・励起炉ほか</x:v>
      </x:c>
      <x:c r="D15" s="18" t="str">
        <x:v>主要モジュールを製作</x:v>
      </x:c>
      <x:c r="E15" s="36"/>
      <x:c r="F15" s="36"/>
      <x:c r="G15" s="36"/>
      <x:c r="H15" s="36"/>
    </x:row>
    <x:row r="16" ht="15" hidden="0" customHeight="1">
      <x:c r="A16" s="19" t="str">
        <x:v>Tier 4</x:v>
      </x:c>
      <x:c r="B16" s="19" t="str">
        <x:v>跳躍機関架台 / Jump Rig</x:v>
      </x:c>
      <x:c r="C16" s="19" t="str">
        <x:v>星間跳躍機関 / Starjump Drive</x:v>
      </x:c>
      <x:c r="D16" s="19" t="str">
        <x:v>宇宙船へ搭載する最終組立</x:v>
      </x:c>
      <x:c r="E16" s="36"/>
      <x:c r="F16" s="36"/>
      <x:c r="G16" s="36"/>
      <x:c r="H16" s="36"/>
    </x:row>
    <x:row r="17" ht="15" hidden="0" customHeight="1">
      <x:c r="A17" s="36"/>
      <x:c r="B17" s="36"/>
      <x:c r="C17" s="36"/>
      <x:c r="D17" s="36"/>
      <x:c r="E17" s="36"/>
      <x:c r="F17" s="36"/>
      <x:c r="G17" s="36"/>
      <x:c r="H17" s="36"/>
    </x:row>
    <x:row r="18" ht="15" hidden="0" customHeight="1">
      <x:c r="A18" s="23" t="str">
        <x:v>命名手順</x:v>
      </x:c>
      <x:c r="B18" s="18" t="str">
        <x:v>英語名を先に決定 → 日本語化 → 戻し訳で意味確認。短さを最優先し、意味を壊さない範囲で直訳から離しています。</x:v>
      </x:c>
      <x:c r="C18" s="18" t="str"/>
      <x:c r="D18" s="18" t="str"/>
      <x:c r="E18" s="36"/>
      <x:c r="F18" s="36"/>
      <x:c r="G18" s="36"/>
      <x:c r="H18" s="36"/>
    </x:row>
    <x:row r="19" ht="15" hidden="0" customHeight="1">
      <x:c r="A19" s="24" t="str">
        <x:v>選別前提</x:v>
      </x:c>
      <x:c r="B19" s="19" t="str">
        <x:v>熱嚢1個につき結果は1種。嚢皮70%・芯種20%・熱糸10%。必要量を期待値で満たす回数を採用。</x:v>
      </x:c>
      <x:c r="C19" s="19" t="str"/>
      <x:c r="D19" s="19" t="str"/>
      <x:c r="E19" s="36"/>
      <x:c r="F19" s="36"/>
      <x:c r="G19" s="36"/>
      <x:c r="H19" s="36"/>
    </x:row>
  </x:sheetData>
  <x:mergeCells>
    <x:mergeCell ref="A2:H2"/>
    <x:mergeCell ref="B18:D18"/>
    <x:mergeCell ref="B19:D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7D78"/>
  </x:sheetPr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0" hidden="0" customWidth="1"/>
  </x:cols>
  <x:sheetData>
    <x:row r="2" ht="18" hidden="0" customHeight="1">
      <x:c r="A2" s="35" t="str">
        <x:v>星間跳躍機関 ×1　原素材総量</x:v>
      </x:c>
      <x:c r="B2" s="36"/>
      <x:c r="C2" s="36"/>
      <x:c r="D2" s="36"/>
      <x:c r="E2" s="36"/>
    </x:row>
    <x:row r="3" ht="15" hidden="0" customHeight="1">
      <x:c r="A3" s="37"/>
      <x:c r="B3" s="37"/>
      <x:c r="C3" s="37"/>
      <x:c r="D3" s="37"/>
      <x:c r="E3" s="37"/>
    </x:row>
    <x:row r="4" ht="15" hidden="0" customHeight="1">
      <x:c r="A4" s="36"/>
      <x:c r="B4" s="36"/>
      <x:c r="C4" s="36"/>
      <x:c r="D4" s="36"/>
      <x:c r="E4" s="36"/>
    </x:row>
    <x:row r="5" ht="15" hidden="0" customHeight="1">
      <x:c r="A5" s="15" t="str">
        <x:v>原素材</x:v>
      </x:c>
      <x:c r="B5" s="16" t="str">
        <x:v>必要数</x:v>
      </x:c>
      <x:c r="C5" s="17" t="str">
        <x:v>主な用途</x:v>
      </x:c>
      <x:c r="D5" s="36"/>
      <x:c r="E5" s="36"/>
    </x:row>
    <x:row r="6" ht="15" hidden="0" customHeight="1">
      <x:c r="A6" s="7" t="str">
        <x:v>鉄鱗</x:v>
      </x:c>
      <x:c r="B6" s="10" t="n">
        <x:f>SUMIF('展開明細'!$B$6:$B$98,A6,'展開明細'!$C$6:$C$98)</x:f>
        <x:v>138</x:v>
      </x:c>
      <x:c r="C6" s="7" t="str">
        <x:v>骨格梁・固定架</x:v>
      </x:c>
      <x:c r="D6" s="36"/>
      <x:c r="E6" s="36"/>
    </x:row>
    <x:row r="7" ht="15" hidden="0" customHeight="1">
      <x:c r="A7" s="7" t="str">
        <x:v>熱嚢</x:v>
      </x:c>
      <x:c r="B7" s="10" t="n">
        <x:f>SUMIF('展開明細'!$B$6:$B$98,A7,'展開明細'!$C$6:$C$98)</x:f>
        <x:v>120</x:v>
      </x:c>
      <x:c r="C7" s="7" t="str">
        <x:v>嚢皮・芯種・熱糸の選別</x:v>
      </x:c>
      <x:c r="D7" s="36"/>
      <x:c r="E7" s="36"/>
    </x:row>
    <x:row r="8" ht="15" hidden="0" customHeight="1">
      <x:c r="A8" s="7" t="str">
        <x:v>磁角</x:v>
      </x:c>
      <x:c r="B8" s="10" t="n">
        <x:f>SUMIF('展開明細'!$B$6:$B$98,A8,'展開明細'!$C$6:$C$98)</x:f>
        <x:v>266</x:v>
      </x:c>
      <x:c r="C8" s="7" t="str">
        <x:v>磁束線・磁芯・磁束コイル</x:v>
      </x:c>
      <x:c r="D8" s="36"/>
      <x:c r="E8" s="36"/>
    </x:row>
    <x:row r="9" ht="15" hidden="0" customHeight="1">
      <x:c r="A9" s="7" t="str">
        <x:v>星紋晶</x:v>
      </x:c>
      <x:c r="B9" s="10" t="n">
        <x:f>SUMIF('展開明細'!$B$6:$B$98,A9,'展開明細'!$C$6:$C$98)</x:f>
        <x:v>44</x:v>
      </x:c>
      <x:c r="C9" s="7" t="str">
        <x:v>晶片・星紋回路</x:v>
      </x:c>
      <x:c r="D9" s="36"/>
      <x:c r="E9" s="36"/>
    </x:row>
    <x:row r="10" ht="15" hidden="0" customHeight="1">
      <x:c r="A10" s="7" t="str">
        <x:v>位相片</x:v>
      </x:c>
      <x:c r="B10" s="10" t="n">
        <x:f>SUMIF('展開明細'!$B$6:$B$98,A10,'展開明細'!$C$6:$C$98)</x:f>
        <x:v>48</x:v>
      </x:c>
      <x:c r="C10" s="7" t="str">
        <x:v>位相粉・位相織膜</x:v>
      </x:c>
      <x:c r="D10" s="36"/>
      <x:c r="E10" s="36"/>
    </x:row>
    <x:row r="11" ht="15" hidden="0" customHeight="1">
      <x:c r="A11" s="7" t="str">
        <x:v>軌道絹</x:v>
      </x:c>
      <x:c r="B11" s="10" t="n">
        <x:f>SUMIF('展開明細'!$B$6:$B$98,A11,'展開明細'!$C$6:$C$98)</x:f>
        <x:v>350</x:v>
      </x:c>
      <x:c r="C11" s="7" t="str">
        <x:v>磁束線・軌道布・骨格梁</x:v>
      </x:c>
      <x:c r="D11" s="36"/>
      <x:c r="E11" s="36"/>
    </x:row>
    <x:row r="12" ht="15" hidden="0" customHeight="1">
      <x:c r="A12" s="9"/>
      <x:c r="B12" s="20"/>
      <x:c r="C12" s="9"/>
      <x:c r="D12" s="36"/>
      <x:c r="E12" s="36"/>
    </x:row>
    <x:row r="13" ht="15" hidden="0" customHeight="1">
      <x:c r="A13" s="36" t="str">
        <x:v>合計</x:v>
      </x:c>
      <x:c r="B13" s="36" t="n">
        <x:f>SUM(B6:B11)</x:f>
        <x:v>966</x:v>
      </x:c>
      <x:c r="C13" s="36"/>
      <x:c r="D13" s="36"/>
      <x:c r="E13" s="36"/>
    </x:row>
    <x:row r="14" ht="15" hidden="0" customHeight="1">
      <x:c r="A14" s="38"/>
      <x:c r="B14" s="38"/>
      <x:c r="C14" s="36"/>
      <x:c r="D14" s="36"/>
      <x:c r="E14" s="36"/>
    </x:row>
  </x:sheetData>
  <x:mergeCells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F7D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24" hidden="0" customWidth="1"/>
  </x:cols>
  <x:sheetData>
    <x:row r="2" ht="18" hidden="0" customHeight="1">
      <x:c r="A2" s="35" t="str">
        <x:v>星間跳躍機関 ×1　中間品の製作総数</x:v>
      </x:c>
      <x:c r="B2" s="36"/>
      <x:c r="C2" s="36"/>
      <x:c r="D2" s="36"/>
      <x:c r="E2" s="36"/>
      <x:c r="F2" s="36"/>
    </x:row>
    <x:row r="3" ht="15" hidden="0" customHeight="1">
      <x:c r="A3" s="37"/>
      <x:c r="B3" s="37"/>
      <x:c r="C3" s="37"/>
      <x:c r="D3" s="37"/>
      <x:c r="E3" s="37"/>
      <x:c r="F3" s="37"/>
    </x:row>
    <x:row r="4" ht="15" hidden="0" customHeight="1">
      <x:c r="A4" s="36"/>
      <x:c r="B4" s="36"/>
      <x:c r="C4" s="36"/>
      <x:c r="D4" s="36"/>
      <x:c r="E4" s="36"/>
      <x:c r="F4" s="36"/>
    </x:row>
    <x:row r="5" ht="15" hidden="0" customHeight="1">
      <x:c r="A5" s="15" t="str">
        <x:v>Tier</x:v>
      </x:c>
      <x:c r="B5" s="16" t="str">
        <x:v>中間品</x:v>
      </x:c>
      <x:c r="C5" s="16" t="str">
        <x:v>製作数</x:v>
      </x:c>
      <x:c r="D5" s="17" t="str">
        <x:v>使用施設</x:v>
      </x:c>
      <x:c r="E5" s="36"/>
      <x:c r="F5" s="36"/>
    </x:row>
    <x:row r="6" ht="15" hidden="0" customHeight="1">
      <x:c r="A6" s="27" t="n">
        <x:v>1</x:v>
      </x:c>
      <x:c r="B6" s="7" t="str">
        <x:v>鱗鉄板</x:v>
      </x:c>
      <x:c r="C6" s="10" t="n">
        <x:f>SUMIF('展開明細'!$B$6:$B$98,B6,'展開明細'!$C$6:$C$98)</x:f>
        <x:v>46</x:v>
      </x:c>
      <x:c r="D6" s="7" t="str">
        <x:v>基礎加工台</x:v>
      </x:c>
      <x:c r="E6" s="36"/>
      <x:c r="F6" s="36"/>
    </x:row>
    <x:row r="7" ht="15" hidden="0" customHeight="1">
      <x:c r="A7" s="27" t="n">
        <x:v>1</x:v>
      </x:c>
      <x:c r="B7" s="7" t="str">
        <x:v>磁束線</x:v>
      </x:c>
      <x:c r="C7" s="10" t="n">
        <x:f>SUMIF('展開明細'!$B$6:$B$98,B7,'展開明細'!$C$6:$C$98)</x:f>
        <x:v>124</x:v>
      </x:c>
      <x:c r="D7" s="7" t="str">
        <x:v>基礎加工台</x:v>
      </x:c>
      <x:c r="E7" s="36"/>
      <x:c r="F7" s="36"/>
    </x:row>
    <x:row r="8" ht="15" hidden="0" customHeight="1">
      <x:c r="A8" s="27" t="n">
        <x:v>1</x:v>
      </x:c>
      <x:c r="B8" s="7" t="str">
        <x:v>磁芯</x:v>
      </x:c>
      <x:c r="C8" s="10" t="n">
        <x:f>SUMIF('展開明細'!$B$6:$B$98,B8,'展開明細'!$C$6:$C$98)</x:f>
        <x:v>9</x:v>
      </x:c>
      <x:c r="D8" s="7" t="str">
        <x:v>基礎加工台</x:v>
      </x:c>
      <x:c r="E8" s="36"/>
      <x:c r="F8" s="36"/>
    </x:row>
    <x:row r="9" ht="15" hidden="0" customHeight="1">
      <x:c r="A9" s="27" t="n">
        <x:v>1</x:v>
      </x:c>
      <x:c r="B9" s="7" t="str">
        <x:v>晶片</x:v>
      </x:c>
      <x:c r="C9" s="10" t="n">
        <x:f>SUMIF('展開明細'!$B$6:$B$98,B9,'展開明細'!$C$6:$C$98)</x:f>
        <x:v>22</x:v>
      </x:c>
      <x:c r="D9" s="7" t="str">
        <x:v>基礎加工台</x:v>
      </x:c>
      <x:c r="E9" s="36"/>
      <x:c r="F9" s="36"/>
    </x:row>
    <x:row r="10" ht="15" hidden="0" customHeight="1">
      <x:c r="A10" s="27" t="n">
        <x:v>1</x:v>
      </x:c>
      <x:c r="B10" s="7" t="str">
        <x:v>位相粉</x:v>
      </x:c>
      <x:c r="C10" s="10" t="n">
        <x:f>SUMIF('展開明細'!$B$6:$B$98,B10,'展開明細'!$C$6:$C$98)</x:f>
        <x:v>24</x:v>
      </x:c>
      <x:c r="D10" s="7" t="str">
        <x:v>基礎加工台</x:v>
      </x:c>
      <x:c r="E10" s="36"/>
      <x:c r="F10" s="36"/>
    </x:row>
    <x:row r="11" ht="15" hidden="0" customHeight="1">
      <x:c r="A11" s="27" t="n">
        <x:v>1</x:v>
      </x:c>
      <x:c r="B11" s="7" t="str">
        <x:v>軌道布</x:v>
      </x:c>
      <x:c r="C11" s="10" t="n">
        <x:f>SUMIF('展開明細'!$B$6:$B$98,B11,'展開明細'!$C$6:$C$98)</x:f>
        <x:v>34</x:v>
      </x:c>
      <x:c r="D11" s="7" t="str">
        <x:v>基礎加工台</x:v>
      </x:c>
      <x:c r="E11" s="36"/>
      <x:c r="F11" s="36"/>
    </x:row>
    <x:row r="12" ht="15" hidden="0" customHeight="1">
      <x:c r="A12" s="27" t="n">
        <x:v>2</x:v>
      </x:c>
      <x:c r="B12" s="7" t="str">
        <x:v>生体配線</x:v>
      </x:c>
      <x:c r="C12" s="10" t="n">
        <x:f>SUMIF('展開明細'!$B$6:$B$98,B12,'展開明細'!$C$6:$C$98)</x:f>
        <x:v>36</x:v>
      </x:c>
      <x:c r="D12" s="7" t="str">
        <x:v>共生組立槽</x:v>
      </x:c>
      <x:c r="E12" s="36"/>
      <x:c r="F12" s="36"/>
    </x:row>
    <x:row r="13" ht="15" hidden="0" customHeight="1">
      <x:c r="A13" s="27" t="n">
        <x:v>2</x:v>
      </x:c>
      <x:c r="B13" s="7" t="str">
        <x:v>磁束コイル</x:v>
      </x:c>
      <x:c r="C13" s="10" t="n">
        <x:f>SUMIF('展開明細'!$B$6:$B$98,B13,'展開明細'!$C$6:$C$98)</x:f>
        <x:v>9</x:v>
      </x:c>
      <x:c r="D13" s="7" t="str">
        <x:v>共生組立槽</x:v>
      </x:c>
      <x:c r="E13" s="36"/>
      <x:c r="F13" s="36"/>
    </x:row>
    <x:row r="14" ht="15" hidden="0" customHeight="1">
      <x:c r="A14" s="27" t="n">
        <x:v>2</x:v>
      </x:c>
      <x:c r="B14" s="7" t="str">
        <x:v>星紋回路</x:v>
      </x:c>
      <x:c r="C14" s="10" t="n">
        <x:f>SUMIF('展開明細'!$B$6:$B$98,B14,'展開明細'!$C$6:$C$98)</x:f>
        <x:v>9</x:v>
      </x:c>
      <x:c r="D14" s="7" t="str">
        <x:v>共生組立槽</x:v>
      </x:c>
      <x:c r="E14" s="36"/>
      <x:c r="F14" s="36"/>
    </x:row>
    <x:row r="15" ht="15" hidden="0" customHeight="1">
      <x:c r="A15" s="27" t="n">
        <x:v>2</x:v>
      </x:c>
      <x:c r="B15" s="7" t="str">
        <x:v>位相織膜</x:v>
      </x:c>
      <x:c r="C15" s="10" t="n">
        <x:f>SUMIF('展開明細'!$B$6:$B$98,B15,'展開明細'!$C$6:$C$98)</x:f>
        <x:v>12</x:v>
      </x:c>
      <x:c r="D15" s="7" t="str">
        <x:v>共生組立槽</x:v>
      </x:c>
      <x:c r="E15" s="36"/>
      <x:c r="F15" s="36"/>
    </x:row>
    <x:row r="16" ht="15" hidden="0" customHeight="1">
      <x:c r="A16" s="27" t="n">
        <x:v>2</x:v>
      </x:c>
      <x:c r="B16" s="7" t="str">
        <x:v>蓄電胞</x:v>
      </x:c>
      <x:c r="C16" s="10" t="n">
        <x:f>SUMIF('展開明細'!$B$6:$B$98,B16,'展開明細'!$C$6:$C$98)</x:f>
        <x:v>4</x:v>
      </x:c>
      <x:c r="D16" s="7" t="str">
        <x:v>共生組立槽</x:v>
      </x:c>
      <x:c r="E16" s="36"/>
      <x:c r="F16" s="36"/>
    </x:row>
    <x:row r="17" ht="15" hidden="0" customHeight="1">
      <x:c r="A17" s="27" t="n">
        <x:v>2</x:v>
      </x:c>
      <x:c r="B17" s="7" t="str">
        <x:v>骨格梁</x:v>
      </x:c>
      <x:c r="C17" s="10" t="n">
        <x:f>SUMIF('展開明細'!$B$6:$B$98,B17,'展開明細'!$C$6:$C$98)</x:f>
        <x:v>10</x:v>
      </x:c>
      <x:c r="D17" s="7" t="str">
        <x:v>共生組立槽</x:v>
      </x:c>
      <x:c r="E17" s="36"/>
      <x:c r="F17" s="36"/>
    </x:row>
    <x:row r="18" ht="15" hidden="0" customHeight="1">
      <x:c r="A18" s="27" t="n">
        <x:v>3</x:v>
      </x:c>
      <x:c r="B18" s="7" t="str">
        <x:v>航法核</x:v>
      </x:c>
      <x:c r="C18" s="10" t="n">
        <x:f>SUMIF('展開明細'!$B$6:$B$98,B18,'展開明細'!$C$6:$C$98)</x:f>
        <x:v>1</x:v>
      </x:c>
      <x:c r="D18" s="7" t="str">
        <x:v>位相工作機</x:v>
      </x:c>
      <x:c r="E18" s="36"/>
      <x:c r="F18" s="36"/>
    </x:row>
    <x:row r="19" ht="15" hidden="0" customHeight="1">
      <x:c r="A19" s="27" t="n">
        <x:v>3</x:v>
      </x:c>
      <x:c r="B19" s="7" t="str">
        <x:v>位相環</x:v>
      </x:c>
      <x:c r="C19" s="10" t="n">
        <x:f>SUMIF('展開明細'!$B$6:$B$98,B19,'展開明細'!$C$6:$C$98)</x:f>
        <x:v>2</x:v>
      </x:c>
      <x:c r="D19" s="7" t="str">
        <x:v>位相工作機</x:v>
      </x:c>
      <x:c r="E19" s="36"/>
      <x:c r="F19" s="36"/>
    </x:row>
    <x:row r="20" ht="15" hidden="0" customHeight="1">
      <x:c r="A20" s="27" t="n">
        <x:v>3</x:v>
      </x:c>
      <x:c r="B20" s="7" t="str">
        <x:v>励起炉</x:v>
      </x:c>
      <x:c r="C20" s="10" t="n">
        <x:f>SUMIF('展開明細'!$B$6:$B$98,B20,'展開明細'!$C$6:$C$98)</x:f>
        <x:v>1</x:v>
      </x:c>
      <x:c r="D20" s="7" t="str">
        <x:v>位相工作機</x:v>
      </x:c>
      <x:c r="E20" s="36"/>
      <x:c r="F20" s="36"/>
    </x:row>
    <x:row r="21" ht="15" hidden="0" customHeight="1">
      <x:c r="A21" s="27" t="n">
        <x:v>3</x:v>
      </x:c>
      <x:c r="B21" s="7" t="str">
        <x:v>界面制御器</x:v>
      </x:c>
      <x:c r="C21" s="10" t="n">
        <x:f>SUMIF('展開明細'!$B$6:$B$98,B21,'展開明細'!$C$6:$C$98)</x:f>
        <x:v>1</x:v>
      </x:c>
      <x:c r="D21" s="7" t="str">
        <x:v>位相工作機</x:v>
      </x:c>
      <x:c r="E21" s="36"/>
      <x:c r="F21" s="36"/>
    </x:row>
    <x:row r="22" ht="15" hidden="0" customHeight="1">
      <x:c r="A22" s="28" t="n">
        <x:v>3</x:v>
      </x:c>
      <x:c r="B22" s="9" t="str">
        <x:v>固定架</x:v>
      </x:c>
      <x:c r="C22" s="20" t="n">
        <x:f>SUMIF('展開明細'!$B$6:$B$98,B22,'展開明細'!$C$6:$C$98)</x:f>
        <x:v>1</x:v>
      </x:c>
      <x:c r="D22" s="9" t="str">
        <x:v>位相工作機</x:v>
      </x:c>
      <x:c r="E22" s="36"/>
      <x:c r="F22" s="36"/>
    </x:row>
  </x:sheetData>
  <x:mergeCells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D5A7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10" hidden="0" customWidth="1"/>
    <x:col min="5" max="5" width="20" hidden="0" customWidth="1"/>
    <x:col min="6" max="6" width="10" hidden="0" customWidth="1"/>
    <x:col min="7" max="7" width="16" hidden="0" customWidth="1"/>
  </x:cols>
  <x:sheetData>
    <x:row r="2" ht="18" hidden="0" customHeight="1">
      <x:c r="A2" s="35" t="str">
        <x:v>新レシピ一覧</x:v>
      </x:c>
      <x:c r="B2" s="36"/>
      <x:c r="C2" s="36"/>
      <x:c r="D2" s="36"/>
      <x:c r="E2" s="36"/>
      <x:c r="F2" s="36"/>
      <x:c r="G2" s="36"/>
    </x:row>
    <x:row r="3" ht="15" hidden="0" customHeight="1">
      <x:c r="A3" s="37"/>
      <x:c r="B3" s="37"/>
      <x:c r="C3" s="37"/>
      <x:c r="D3" s="37"/>
      <x:c r="E3" s="37"/>
      <x:c r="F3" s="37"/>
      <x:c r="G3" s="37"/>
    </x:row>
    <x:row r="4" ht="15" hidden="0" customHeight="1">
      <x:c r="A4" s="15" t="str">
        <x:v>Tier</x:v>
      </x:c>
      <x:c r="B4" s="16" t="str">
        <x:v>施設</x:v>
      </x:c>
      <x:c r="C4" s="16" t="str">
        <x:v>完成品</x:v>
      </x:c>
      <x:c r="D4" s="16" t="str">
        <x:v>出力数</x:v>
      </x:c>
      <x:c r="E4" s="16" t="str">
        <x:v>入力素材</x:v>
      </x:c>
      <x:c r="F4" s="16" t="str">
        <x:v>入力数</x:v>
      </x:c>
      <x:c r="G4" s="17" t="str">
        <x:v>方式</x:v>
      </x:c>
    </x:row>
    <x:row r="5" ht="15" hidden="0" customHeight="1">
      <x:c r="A5" s="27" t="n">
        <x:v>1</x:v>
      </x:c>
      <x:c r="B5" s="7" t="str">
        <x:v>基礎加工台</x:v>
      </x:c>
      <x:c r="C5" s="7" t="str">
        <x:v>鱗鉄板</x:v>
      </x:c>
      <x:c r="D5" s="7" t="n">
        <x:v>1</x:v>
      </x:c>
      <x:c r="E5" s="7" t="str">
        <x:v>鉄鱗</x:v>
      </x:c>
      <x:c r="F5" s="7" t="n">
        <x:v>3</x:v>
      </x:c>
      <x:c r="G5" s="7" t="str">
        <x:v>レシピ切替</x:v>
      </x:c>
    </x:row>
    <x:row r="6" ht="15" hidden="0" customHeight="1">
      <x:c r="A6" s="27" t="n">
        <x:v>1</x:v>
      </x:c>
      <x:c r="B6" s="7" t="str">
        <x:v>基礎加工台</x:v>
      </x:c>
      <x:c r="C6" s="7" t="str">
        <x:v>磁束線</x:v>
      </x:c>
      <x:c r="D6" s="7" t="n">
        <x:v>1</x:v>
      </x:c>
      <x:c r="E6" s="7" t="str">
        <x:v>磁角</x:v>
      </x:c>
      <x:c r="F6" s="7" t="n">
        <x:v>2</x:v>
      </x:c>
      <x:c r="G6" s="7" t="str">
        <x:v>レシピ切替</x:v>
      </x:c>
    </x:row>
    <x:row r="7" ht="15" hidden="0" customHeight="1">
      <x:c r="A7" s="27" t="n">
        <x:v>1</x:v>
      </x:c>
      <x:c r="B7" s="7" t="str">
        <x:v>基礎加工台</x:v>
      </x:c>
      <x:c r="C7" s="7" t="str">
        <x:v>磁束線</x:v>
      </x:c>
      <x:c r="D7" s="7"/>
      <x:c r="E7" s="7" t="str">
        <x:v>軌道絹</x:v>
      </x:c>
      <x:c r="F7" s="7" t="n">
        <x:v>2</x:v>
      </x:c>
      <x:c r="G7" s="7" t="str">
        <x:v>レシピ切替</x:v>
      </x:c>
    </x:row>
    <x:row r="8" ht="15" hidden="0" customHeight="1">
      <x:c r="A8" s="27" t="n">
        <x:v>1</x:v>
      </x:c>
      <x:c r="B8" s="7" t="str">
        <x:v>基礎加工台</x:v>
      </x:c>
      <x:c r="C8" s="7" t="str">
        <x:v>磁芯</x:v>
      </x:c>
      <x:c r="D8" s="7" t="n">
        <x:v>1</x:v>
      </x:c>
      <x:c r="E8" s="7" t="str">
        <x:v>磁角</x:v>
      </x:c>
      <x:c r="F8" s="7" t="n">
        <x:v>2</x:v>
      </x:c>
      <x:c r="G8" s="7" t="str">
        <x:v>レシピ切替</x:v>
      </x:c>
    </x:row>
    <x:row r="9" ht="15" hidden="0" customHeight="1">
      <x:c r="A9" s="27" t="n">
        <x:v>1</x:v>
      </x:c>
      <x:c r="B9" s="7" t="str">
        <x:v>基礎加工台</x:v>
      </x:c>
      <x:c r="C9" s="7" t="str">
        <x:v>晶片</x:v>
      </x:c>
      <x:c r="D9" s="7" t="n">
        <x:v>1</x:v>
      </x:c>
      <x:c r="E9" s="7" t="str">
        <x:v>星紋晶</x:v>
      </x:c>
      <x:c r="F9" s="7" t="n">
        <x:v>2</x:v>
      </x:c>
      <x:c r="G9" s="7" t="str">
        <x:v>レシピ切替</x:v>
      </x:c>
    </x:row>
    <x:row r="10" ht="15" hidden="0" customHeight="1">
      <x:c r="A10" s="27" t="n">
        <x:v>1</x:v>
      </x:c>
      <x:c r="B10" s="7" t="str">
        <x:v>基礎加工台</x:v>
      </x:c>
      <x:c r="C10" s="7" t="str">
        <x:v>位相粉</x:v>
      </x:c>
      <x:c r="D10" s="7" t="n">
        <x:v>1</x:v>
      </x:c>
      <x:c r="E10" s="7" t="str">
        <x:v>位相片</x:v>
      </x:c>
      <x:c r="F10" s="7" t="n">
        <x:v>2</x:v>
      </x:c>
      <x:c r="G10" s="7" t="str">
        <x:v>レシピ切替</x:v>
      </x:c>
    </x:row>
    <x:row r="11" ht="15" hidden="0" customHeight="1">
      <x:c r="A11" s="27" t="n">
        <x:v>1</x:v>
      </x:c>
      <x:c r="B11" s="7" t="str">
        <x:v>基礎加工台</x:v>
      </x:c>
      <x:c r="C11" s="7" t="str">
        <x:v>軌道布</x:v>
      </x:c>
      <x:c r="D11" s="7" t="n">
        <x:v>1</x:v>
      </x:c>
      <x:c r="E11" s="7" t="str">
        <x:v>軌道絹</x:v>
      </x:c>
      <x:c r="F11" s="7" t="n">
        <x:v>3</x:v>
      </x:c>
      <x:c r="G11" s="7" t="str">
        <x:v>レシピ切替</x:v>
      </x:c>
    </x:row>
    <x:row r="12" ht="15" hidden="0" customHeight="1">
      <x:c r="A12" s="27" t="n">
        <x:v>2</x:v>
      </x:c>
      <x:c r="B12" s="7" t="str">
        <x:v>共生組立槽</x:v>
      </x:c>
      <x:c r="C12" s="7" t="str">
        <x:v>生体配線</x:v>
      </x:c>
      <x:c r="D12" s="7" t="n">
        <x:v>1</x:v>
      </x:c>
      <x:c r="E12" s="7" t="str">
        <x:v>磁束線</x:v>
      </x:c>
      <x:c r="F12" s="7" t="n">
        <x:v>3</x:v>
      </x:c>
      <x:c r="G12" s="7" t="str">
        <x:v>固定レシピ</x:v>
      </x:c>
    </x:row>
    <x:row r="13" ht="15" hidden="0" customHeight="1">
      <x:c r="A13" s="27" t="n">
        <x:v>2</x:v>
      </x:c>
      <x:c r="B13" s="7" t="str">
        <x:v>共生組立槽</x:v>
      </x:c>
      <x:c r="C13" s="7" t="str">
        <x:v>生体配線</x:v>
      </x:c>
      <x:c r="D13" s="7"/>
      <x:c r="E13" s="7" t="str">
        <x:v>嚢皮</x:v>
      </x:c>
      <x:c r="F13" s="7" t="n">
        <x:v>1</x:v>
      </x:c>
      <x:c r="G13" s="7" t="str">
        <x:v>固定レシピ</x:v>
      </x:c>
    </x:row>
    <x:row r="14" ht="15" hidden="0" customHeight="1">
      <x:c r="A14" s="27" t="n">
        <x:v>2</x:v>
      </x:c>
      <x:c r="B14" s="7" t="str">
        <x:v>共生組立槽</x:v>
      </x:c>
      <x:c r="C14" s="7" t="str">
        <x:v>磁束コイル</x:v>
      </x:c>
      <x:c r="D14" s="7" t="n">
        <x:v>1</x:v>
      </x:c>
      <x:c r="E14" s="7" t="str">
        <x:v>生体配線</x:v>
      </x:c>
      <x:c r="F14" s="7" t="n">
        <x:v>2</x:v>
      </x:c>
      <x:c r="G14" s="7" t="str">
        <x:v>固定レシピ</x:v>
      </x:c>
    </x:row>
    <x:row r="15" ht="15" hidden="0" customHeight="1">
      <x:c r="A15" s="27" t="n">
        <x:v>2</x:v>
      </x:c>
      <x:c r="B15" s="7" t="str">
        <x:v>共生組立槽</x:v>
      </x:c>
      <x:c r="C15" s="7" t="str">
        <x:v>磁束コイル</x:v>
      </x:c>
      <x:c r="D15" s="7"/>
      <x:c r="E15" s="7" t="str">
        <x:v>磁芯</x:v>
      </x:c>
      <x:c r="F15" s="7" t="n">
        <x:v>1</x:v>
      </x:c>
      <x:c r="G15" s="7" t="str">
        <x:v>固定レシピ</x:v>
      </x:c>
    </x:row>
    <x:row r="16" ht="15" hidden="0" customHeight="1">
      <x:c r="A16" s="27" t="n">
        <x:v>2</x:v>
      </x:c>
      <x:c r="B16" s="7" t="str">
        <x:v>共生組立槽</x:v>
      </x:c>
      <x:c r="C16" s="7" t="str">
        <x:v>星紋回路</x:v>
      </x:c>
      <x:c r="D16" s="7" t="n">
        <x:v>1</x:v>
      </x:c>
      <x:c r="E16" s="7" t="str">
        <x:v>晶片</x:v>
      </x:c>
      <x:c r="F16" s="7" t="n">
        <x:v>2</x:v>
      </x:c>
      <x:c r="G16" s="7" t="str">
        <x:v>固定レシピ</x:v>
      </x:c>
    </x:row>
    <x:row r="17" ht="15" hidden="0" customHeight="1">
      <x:c r="A17" s="27" t="n">
        <x:v>2</x:v>
      </x:c>
      <x:c r="B17" s="7" t="str">
        <x:v>共生組立槽</x:v>
      </x:c>
      <x:c r="C17" s="7" t="str">
        <x:v>星紋回路</x:v>
      </x:c>
      <x:c r="D17" s="7"/>
      <x:c r="E17" s="7" t="str">
        <x:v>生体配線</x:v>
      </x:c>
      <x:c r="F17" s="7" t="n">
        <x:v>2</x:v>
      </x:c>
      <x:c r="G17" s="7" t="str">
        <x:v>固定レシピ</x:v>
      </x:c>
    </x:row>
    <x:row r="18" ht="15" hidden="0" customHeight="1">
      <x:c r="A18" s="27" t="n">
        <x:v>2</x:v>
      </x:c>
      <x:c r="B18" s="7" t="str">
        <x:v>共生組立槽</x:v>
      </x:c>
      <x:c r="C18" s="7" t="str">
        <x:v>位相織膜</x:v>
      </x:c>
      <x:c r="D18" s="7" t="n">
        <x:v>1</x:v>
      </x:c>
      <x:c r="E18" s="7" t="str">
        <x:v>位相粉</x:v>
      </x:c>
      <x:c r="F18" s="7" t="n">
        <x:v>2</x:v>
      </x:c>
      <x:c r="G18" s="7" t="str">
        <x:v>固定レシピ</x:v>
      </x:c>
    </x:row>
    <x:row r="19" ht="15" hidden="0" customHeight="1">
      <x:c r="A19" s="27" t="n">
        <x:v>2</x:v>
      </x:c>
      <x:c r="B19" s="7" t="str">
        <x:v>共生組立槽</x:v>
      </x:c>
      <x:c r="C19" s="7" t="str">
        <x:v>位相織膜</x:v>
      </x:c>
      <x:c r="D19" s="7"/>
      <x:c r="E19" s="7" t="str">
        <x:v>軌道布</x:v>
      </x:c>
      <x:c r="F19" s="7" t="n">
        <x:v>2</x:v>
      </x:c>
      <x:c r="G19" s="7" t="str">
        <x:v>固定レシピ</x:v>
      </x:c>
    </x:row>
    <x:row r="20" ht="15" hidden="0" customHeight="1">
      <x:c r="A20" s="27" t="n">
        <x:v>2</x:v>
      </x:c>
      <x:c r="B20" s="7" t="str">
        <x:v>共生組立槽</x:v>
      </x:c>
      <x:c r="C20" s="7" t="str">
        <x:v>位相織膜</x:v>
      </x:c>
      <x:c r="D20" s="7"/>
      <x:c r="E20" s="7" t="str">
        <x:v>熱糸</x:v>
      </x:c>
      <x:c r="F20" s="7" t="n">
        <x:v>1</x:v>
      </x:c>
      <x:c r="G20" s="7" t="str">
        <x:v>固定レシピ</x:v>
      </x:c>
    </x:row>
    <x:row r="21" ht="15" hidden="0" customHeight="1">
      <x:c r="A21" s="27" t="n">
        <x:v>2</x:v>
      </x:c>
      <x:c r="B21" s="7" t="str">
        <x:v>共生組立槽</x:v>
      </x:c>
      <x:c r="C21" s="7" t="str">
        <x:v>蓄電胞</x:v>
      </x:c>
      <x:c r="D21" s="7" t="n">
        <x:v>1</x:v>
      </x:c>
      <x:c r="E21" s="7" t="str">
        <x:v>磁束線</x:v>
      </x:c>
      <x:c r="F21" s="7" t="n">
        <x:v>4</x:v>
      </x:c>
      <x:c r="G21" s="7" t="str">
        <x:v>固定レシピ</x:v>
      </x:c>
    </x:row>
    <x:row r="22" ht="15" hidden="0" customHeight="1">
      <x:c r="A22" s="27" t="n">
        <x:v>2</x:v>
      </x:c>
      <x:c r="B22" s="7" t="str">
        <x:v>共生組立槽</x:v>
      </x:c>
      <x:c r="C22" s="7" t="str">
        <x:v>蓄電胞</x:v>
      </x:c>
      <x:c r="D22" s="7"/>
      <x:c r="E22" s="7" t="str">
        <x:v>晶片</x:v>
      </x:c>
      <x:c r="F22" s="7" t="n">
        <x:v>1</x:v>
      </x:c>
      <x:c r="G22" s="7" t="str">
        <x:v>固定レシピ</x:v>
      </x:c>
    </x:row>
    <x:row r="23" ht="15" hidden="0" customHeight="1">
      <x:c r="A23" s="27" t="n">
        <x:v>2</x:v>
      </x:c>
      <x:c r="B23" s="7" t="str">
        <x:v>共生組立槽</x:v>
      </x:c>
      <x:c r="C23" s="7" t="str">
        <x:v>蓄電胞</x:v>
      </x:c>
      <x:c r="D23" s="7"/>
      <x:c r="E23" s="7" t="str">
        <x:v>芯種</x:v>
      </x:c>
      <x:c r="F23" s="7" t="n">
        <x:v>1</x:v>
      </x:c>
      <x:c r="G23" s="7" t="str">
        <x:v>固定レシピ</x:v>
      </x:c>
    </x:row>
    <x:row r="24" ht="15" hidden="0" customHeight="1">
      <x:c r="A24" s="27" t="n">
        <x:v>2</x:v>
      </x:c>
      <x:c r="B24" s="7" t="str">
        <x:v>共生組立槽</x:v>
      </x:c>
      <x:c r="C24" s="7" t="str">
        <x:v>骨格梁</x:v>
      </x:c>
      <x:c r="D24" s="7" t="n">
        <x:v>1</x:v>
      </x:c>
      <x:c r="E24" s="7" t="str">
        <x:v>鱗鉄板</x:v>
      </x:c>
      <x:c r="F24" s="7" t="n">
        <x:v>4</x:v>
      </x:c>
      <x:c r="G24" s="7" t="str">
        <x:v>固定レシピ</x:v>
      </x:c>
    </x:row>
    <x:row r="25" ht="15" hidden="0" customHeight="1">
      <x:c r="A25" s="27" t="n">
        <x:v>2</x:v>
      </x:c>
      <x:c r="B25" s="7" t="str">
        <x:v>共生組立槽</x:v>
      </x:c>
      <x:c r="C25" s="7" t="str">
        <x:v>骨格梁</x:v>
      </x:c>
      <x:c r="D25" s="7"/>
      <x:c r="E25" s="7" t="str">
        <x:v>軌道布</x:v>
      </x:c>
      <x:c r="F25" s="7" t="n">
        <x:v>1</x:v>
      </x:c>
      <x:c r="G25" s="7" t="str">
        <x:v>固定レシピ</x:v>
      </x:c>
    </x:row>
    <x:row r="26" ht="15" hidden="0" customHeight="1">
      <x:c r="A26" s="27" t="n">
        <x:v>3</x:v>
      </x:c>
      <x:c r="B26" s="7" t="str">
        <x:v>位相工作機</x:v>
      </x:c>
      <x:c r="C26" s="7" t="str">
        <x:v>航法核</x:v>
      </x:c>
      <x:c r="D26" s="7" t="n">
        <x:v>1</x:v>
      </x:c>
      <x:c r="E26" s="7" t="str">
        <x:v>星紋回路</x:v>
      </x:c>
      <x:c r="F26" s="7" t="n">
        <x:v>3</x:v>
      </x:c>
      <x:c r="G26" s="7" t="str">
        <x:v>固定レシピ</x:v>
      </x:c>
    </x:row>
    <x:row r="27" ht="15" hidden="0" customHeight="1">
      <x:c r="A27" s="27" t="n">
        <x:v>3</x:v>
      </x:c>
      <x:c r="B27" s="7" t="str">
        <x:v>位相工作機</x:v>
      </x:c>
      <x:c r="C27" s="7" t="str">
        <x:v>航法核</x:v>
      </x:c>
      <x:c r="D27" s="7"/>
      <x:c r="E27" s="7" t="str">
        <x:v>磁束コイル</x:v>
      </x:c>
      <x:c r="F27" s="7" t="n">
        <x:v>2</x:v>
      </x:c>
      <x:c r="G27" s="7" t="str">
        <x:v>固定レシピ</x:v>
      </x:c>
    </x:row>
    <x:row r="28" ht="15" hidden="0" customHeight="1">
      <x:c r="A28" s="27" t="n">
        <x:v>3</x:v>
      </x:c>
      <x:c r="B28" s="7" t="str">
        <x:v>位相工作機</x:v>
      </x:c>
      <x:c r="C28" s="7" t="str">
        <x:v>航法核</x:v>
      </x:c>
      <x:c r="D28" s="7"/>
      <x:c r="E28" s="7" t="str">
        <x:v>位相織膜</x:v>
      </x:c>
      <x:c r="F28" s="7" t="n">
        <x:v>1</x:v>
      </x:c>
      <x:c r="G28" s="7" t="str">
        <x:v>固定レシピ</x:v>
      </x:c>
    </x:row>
    <x:row r="29" ht="15" hidden="0" customHeight="1">
      <x:c r="A29" s="27" t="n">
        <x:v>3</x:v>
      </x:c>
      <x:c r="B29" s="7" t="str">
        <x:v>位相工作機</x:v>
      </x:c>
      <x:c r="C29" s="7" t="str">
        <x:v>位相環</x:v>
      </x:c>
      <x:c r="D29" s="7" t="n">
        <x:v>1</x:v>
      </x:c>
      <x:c r="E29" s="7" t="str">
        <x:v>骨格梁</x:v>
      </x:c>
      <x:c r="F29" s="7" t="n">
        <x:v>3</x:v>
      </x:c>
      <x:c r="G29" s="7" t="str">
        <x:v>固定レシピ</x:v>
      </x:c>
    </x:row>
    <x:row r="30" ht="15" hidden="0" customHeight="1">
      <x:c r="A30" s="27" t="n">
        <x:v>3</x:v>
      </x:c>
      <x:c r="B30" s="7" t="str">
        <x:v>位相工作機</x:v>
      </x:c>
      <x:c r="C30" s="7" t="str">
        <x:v>位相環</x:v>
      </x:c>
      <x:c r="D30" s="7"/>
      <x:c r="E30" s="7" t="str">
        <x:v>位相織膜</x:v>
      </x:c>
      <x:c r="F30" s="7" t="n">
        <x:v>4</x:v>
      </x:c>
      <x:c r="G30" s="7" t="str">
        <x:v>固定レシピ</x:v>
      </x:c>
    </x:row>
    <x:row r="31" ht="15" hidden="0" customHeight="1">
      <x:c r="A31" s="27" t="n">
        <x:v>3</x:v>
      </x:c>
      <x:c r="B31" s="7" t="str">
        <x:v>位相工作機</x:v>
      </x:c>
      <x:c r="C31" s="7" t="str">
        <x:v>位相環</x:v>
      </x:c>
      <x:c r="D31" s="7"/>
      <x:c r="E31" s="7" t="str">
        <x:v>磁束コイル</x:v>
      </x:c>
      <x:c r="F31" s="7" t="n">
        <x:v>2</x:v>
      </x:c>
      <x:c r="G31" s="7" t="str">
        <x:v>固定レシピ</x:v>
      </x:c>
    </x:row>
    <x:row r="32" ht="15" hidden="0" customHeight="1">
      <x:c r="A32" s="27" t="n">
        <x:v>3</x:v>
      </x:c>
      <x:c r="B32" s="7" t="str">
        <x:v>位相工作機</x:v>
      </x:c>
      <x:c r="C32" s="7" t="str">
        <x:v>励起炉</x:v>
      </x:c>
      <x:c r="D32" s="7" t="n">
        <x:v>1</x:v>
      </x:c>
      <x:c r="E32" s="7" t="str">
        <x:v>蓄電胞</x:v>
      </x:c>
      <x:c r="F32" s="7" t="n">
        <x:v>4</x:v>
      </x:c>
      <x:c r="G32" s="7" t="str">
        <x:v>固定レシピ</x:v>
      </x:c>
    </x:row>
    <x:row r="33" ht="15" hidden="0" customHeight="1">
      <x:c r="A33" s="27" t="n">
        <x:v>3</x:v>
      </x:c>
      <x:c r="B33" s="7" t="str">
        <x:v>位相工作機</x:v>
      </x:c>
      <x:c r="C33" s="7" t="str">
        <x:v>励起炉</x:v>
      </x:c>
      <x:c r="D33" s="7"/>
      <x:c r="E33" s="7" t="str">
        <x:v>星紋回路</x:v>
      </x:c>
      <x:c r="F33" s="7" t="n">
        <x:v>2</x:v>
      </x:c>
      <x:c r="G33" s="7" t="str">
        <x:v>固定レシピ</x:v>
      </x:c>
    </x:row>
    <x:row r="34" ht="15" hidden="0" customHeight="1">
      <x:c r="A34" s="27" t="n">
        <x:v>3</x:v>
      </x:c>
      <x:c r="B34" s="7" t="str">
        <x:v>位相工作機</x:v>
      </x:c>
      <x:c r="C34" s="7" t="str">
        <x:v>励起炉</x:v>
      </x:c>
      <x:c r="D34" s="7"/>
      <x:c r="E34" s="7" t="str">
        <x:v>嚢皮</x:v>
      </x:c>
      <x:c r="F34" s="7" t="n">
        <x:v>5</x:v>
      </x:c>
      <x:c r="G34" s="7" t="str">
        <x:v>固定レシピ</x:v>
      </x:c>
    </x:row>
    <x:row r="35" ht="15" hidden="0" customHeight="1">
      <x:c r="A35" s="27" t="n">
        <x:v>3</x:v>
      </x:c>
      <x:c r="B35" s="7" t="str">
        <x:v>位相工作機</x:v>
      </x:c>
      <x:c r="C35" s="7" t="str">
        <x:v>界面制御器</x:v>
      </x:c>
      <x:c r="D35" s="7" t="n">
        <x:v>1</x:v>
      </x:c>
      <x:c r="E35" s="7" t="str">
        <x:v>位相織膜</x:v>
      </x:c>
      <x:c r="F35" s="7" t="n">
        <x:v>3</x:v>
      </x:c>
      <x:c r="G35" s="7" t="str">
        <x:v>固定レシピ</x:v>
      </x:c>
    </x:row>
    <x:row r="36" ht="15" hidden="0" customHeight="1">
      <x:c r="A36" s="27" t="n">
        <x:v>3</x:v>
      </x:c>
      <x:c r="B36" s="7" t="str">
        <x:v>位相工作機</x:v>
      </x:c>
      <x:c r="C36" s="7" t="str">
        <x:v>界面制御器</x:v>
      </x:c>
      <x:c r="D36" s="7"/>
      <x:c r="E36" s="7" t="str">
        <x:v>星紋回路</x:v>
      </x:c>
      <x:c r="F36" s="7" t="n">
        <x:v>4</x:v>
      </x:c>
      <x:c r="G36" s="7" t="str">
        <x:v>固定レシピ</x:v>
      </x:c>
    </x:row>
    <x:row r="37" ht="15" hidden="0" customHeight="1">
      <x:c r="A37" s="27" t="n">
        <x:v>3</x:v>
      </x:c>
      <x:c r="B37" s="7" t="str">
        <x:v>位相工作機</x:v>
      </x:c>
      <x:c r="C37" s="7" t="str">
        <x:v>界面制御器</x:v>
      </x:c>
      <x:c r="D37" s="7"/>
      <x:c r="E37" s="7" t="str">
        <x:v>磁束コイル</x:v>
      </x:c>
      <x:c r="F37" s="7" t="n">
        <x:v>3</x:v>
      </x:c>
      <x:c r="G37" s="7" t="str">
        <x:v>固定レシピ</x:v>
      </x:c>
    </x:row>
    <x:row r="38" ht="15" hidden="0" customHeight="1">
      <x:c r="A38" s="27" t="n">
        <x:v>3</x:v>
      </x:c>
      <x:c r="B38" s="7" t="str">
        <x:v>位相工作機</x:v>
      </x:c>
      <x:c r="C38" s="7" t="str">
        <x:v>固定架</x:v>
      </x:c>
      <x:c r="D38" s="7" t="n">
        <x:v>1</x:v>
      </x:c>
      <x:c r="E38" s="7" t="str">
        <x:v>骨格梁</x:v>
      </x:c>
      <x:c r="F38" s="7" t="n">
        <x:v>4</x:v>
      </x:c>
      <x:c r="G38" s="7" t="str">
        <x:v>固定レシピ</x:v>
      </x:c>
    </x:row>
    <x:row r="39" ht="15" hidden="0" customHeight="1">
      <x:c r="A39" s="27" t="n">
        <x:v>3</x:v>
      </x:c>
      <x:c r="B39" s="7" t="str">
        <x:v>位相工作機</x:v>
      </x:c>
      <x:c r="C39" s="7" t="str">
        <x:v>固定架</x:v>
      </x:c>
      <x:c r="D39" s="7"/>
      <x:c r="E39" s="7" t="str">
        <x:v>鱗鉄板</x:v>
      </x:c>
      <x:c r="F39" s="7" t="n">
        <x:v>6</x:v>
      </x:c>
      <x:c r="G39" s="7" t="str">
        <x:v>固定レシピ</x:v>
      </x:c>
    </x:row>
    <x:row r="40" ht="15" hidden="0" customHeight="1">
      <x:c r="A40" s="27" t="n">
        <x:v>4</x:v>
      </x:c>
      <x:c r="B40" s="7" t="str">
        <x:v>跳躍機関架台</x:v>
      </x:c>
      <x:c r="C40" s="7" t="str">
        <x:v>星間跳躍機関</x:v>
      </x:c>
      <x:c r="D40" s="7" t="n">
        <x:v>1</x:v>
      </x:c>
      <x:c r="E40" s="7" t="str">
        <x:v>航法核</x:v>
      </x:c>
      <x:c r="F40" s="7" t="n">
        <x:v>1</x:v>
      </x:c>
      <x:c r="G40" s="7" t="str">
        <x:v>最終組立</x:v>
      </x:c>
    </x:row>
    <x:row r="41" ht="15" hidden="0" customHeight="1">
      <x:c r="A41" s="27" t="n">
        <x:v>4</x:v>
      </x:c>
      <x:c r="B41" s="7" t="str">
        <x:v>跳躍機関架台</x:v>
      </x:c>
      <x:c r="C41" s="7" t="str">
        <x:v>星間跳躍機関</x:v>
      </x:c>
      <x:c r="D41" s="7"/>
      <x:c r="E41" s="7" t="str">
        <x:v>位相環</x:v>
      </x:c>
      <x:c r="F41" s="7" t="n">
        <x:v>2</x:v>
      </x:c>
      <x:c r="G41" s="7" t="str">
        <x:v>最終組立</x:v>
      </x:c>
    </x:row>
    <x:row r="42" ht="15" hidden="0" customHeight="1">
      <x:c r="A42" s="27" t="n">
        <x:v>4</x:v>
      </x:c>
      <x:c r="B42" s="7" t="str">
        <x:v>跳躍機関架台</x:v>
      </x:c>
      <x:c r="C42" s="7" t="str">
        <x:v>星間跳躍機関</x:v>
      </x:c>
      <x:c r="D42" s="7"/>
      <x:c r="E42" s="7" t="str">
        <x:v>励起炉</x:v>
      </x:c>
      <x:c r="F42" s="7" t="n">
        <x:v>1</x:v>
      </x:c>
      <x:c r="G42" s="7" t="str">
        <x:v>最終組立</x:v>
      </x:c>
    </x:row>
    <x:row r="43" ht="15" hidden="0" customHeight="1">
      <x:c r="A43" s="28" t="n">
        <x:v>4</x:v>
      </x:c>
      <x:c r="B43" s="9" t="str">
        <x:v>跳躍機関架台</x:v>
      </x:c>
      <x:c r="C43" s="9" t="str">
        <x:v>星間跳躍機関</x:v>
      </x:c>
      <x:c r="D43" s="9"/>
      <x:c r="E43" s="9" t="str">
        <x:v>界面制御器</x:v>
      </x:c>
      <x:c r="F43" s="9" t="n">
        <x:v>1</x:v>
      </x:c>
      <x:c r="G43" s="9" t="str">
        <x:v>最終組立</x:v>
      </x:c>
    </x:row>
    <x:row r="44">
      <x:c r="A44" t="n">
        <x:v>4</x:v>
      </x:c>
      <x:c r="B44" t="str">
        <x:v>跳躍機関架台</x:v>
      </x:c>
      <x:c r="C44" t="str">
        <x:v>星間跳躍機関</x:v>
      </x:c>
      <x:c r="D44"/>
      <x:c r="E44" t="str">
        <x:v>固定架</x:v>
      </x:c>
      <x:c r="F44" t="n">
        <x:v>1</x:v>
      </x:c>
      <x:c r="G44" t="str">
        <x:v>最終組立</x:v>
      </x:c>
    </x:row>
  </x:sheetData>
  <x:mergeCells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7A84B"/>
  </x:sheetPr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 ht="18" hidden="0" customHeight="1">
      <x:c r="A2" s="35" t="str">
        <x:v>熱嚢選別機 / Sac Sorter</x:v>
      </x:c>
      <x:c r="B2" s="36"/>
      <x:c r="C2" s="36"/>
      <x:c r="D2" s="36"/>
      <x:c r="E2" s="36"/>
      <x:c r="F2" s="36"/>
      <x:c r="G2" s="36"/>
      <x:c r="H2" s="36"/>
    </x:row>
    <x:row r="3" ht="15" hidden="0" customHeight="1">
      <x:c r="A3" s="37"/>
      <x:c r="B3" s="37"/>
      <x:c r="C3" s="37"/>
      <x:c r="D3" s="37"/>
      <x:c r="E3" s="37"/>
      <x:c r="F3" s="37"/>
      <x:c r="G3" s="37"/>
      <x:c r="H3" s="37"/>
    </x:row>
    <x:row r="4" ht="15" hidden="0" customHeight="1">
      <x:c r="A4" s="36"/>
      <x:c r="B4" s="36"/>
      <x:c r="C4" s="36"/>
      <x:c r="D4" s="36"/>
      <x:c r="E4" s="36"/>
      <x:c r="F4" s="36"/>
      <x:c r="G4" s="36"/>
      <x:c r="H4" s="36"/>
    </x:row>
    <x:row r="5" ht="15" hidden="0" customHeight="1">
      <x:c r="A5" s="15" t="str">
        <x:v>English</x:v>
      </x:c>
      <x:c r="B5" s="16" t="str">
        <x:v>日本語</x:v>
      </x:c>
      <x:c r="C5" s="16" t="str">
        <x:v>出現率</x:v>
      </x:c>
      <x:c r="D5" s="16" t="str">
        <x:v>必要数</x:v>
      </x:c>
      <x:c r="E5" s="16" t="str">
        <x:v>期待産出</x:v>
      </x:c>
      <x:c r="F5" s="16" t="str">
        <x:v>余剰期待値</x:v>
      </x:c>
      <x:c r="G5" s="17" t="str">
        <x:v>レア度</x:v>
      </x:c>
      <x:c r="H5" s="36"/>
    </x:row>
    <x:row r="6" ht="15" hidden="0" customHeight="1">
      <x:c r="A6" s="7" t="str">
        <x:v>Sac Skin</x:v>
      </x:c>
      <x:c r="B6" s="7" t="str">
        <x:v>嚢皮</x:v>
      </x:c>
      <x:c r="C6" s="29" t="n">
        <x:v>0.7</x:v>
      </x:c>
      <x:c r="D6" s="31" t="n">
        <x:v>41</x:v>
      </x:c>
      <x:c r="E6" s="31" t="n">
        <x:v>84</x:v>
      </x:c>
      <x:c r="F6" s="31" t="n">
        <x:v>43</x:v>
      </x:c>
      <x:c r="G6" s="7" t="str">
        <x:v>標準</x:v>
      </x:c>
      <x:c r="H6" s="36"/>
    </x:row>
    <x:row r="7" ht="15" hidden="0" customHeight="1">
      <x:c r="A7" s="7" t="str">
        <x:v>Core Seed</x:v>
      </x:c>
      <x:c r="B7" s="7" t="str">
        <x:v>芯種</x:v>
      </x:c>
      <x:c r="C7" s="29" t="n">
        <x:v>0.2</x:v>
      </x:c>
      <x:c r="D7" s="31" t="n">
        <x:v>4</x:v>
      </x:c>
      <x:c r="E7" s="31" t="n">
        <x:v>24</x:v>
      </x:c>
      <x:c r="F7" s="31" t="n">
        <x:v>20</x:v>
      </x:c>
      <x:c r="G7" s="7" t="str">
        <x:v>希少</x:v>
      </x:c>
      <x:c r="H7" s="36"/>
    </x:row>
    <x:row r="8" ht="15" hidden="0" customHeight="1">
      <x:c r="A8" s="9" t="str">
        <x:v>Heat Filament</x:v>
      </x:c>
      <x:c r="B8" s="9" t="str">
        <x:v>熱糸</x:v>
      </x:c>
      <x:c r="C8" s="30" t="n">
        <x:v>0.1</x:v>
      </x:c>
      <x:c r="D8" s="32" t="n">
        <x:v>12</x:v>
      </x:c>
      <x:c r="E8" s="32" t="n">
        <x:v>12</x:v>
      </x:c>
      <x:c r="F8" s="32" t="n">
        <x:v>0</x:v>
      </x:c>
      <x:c r="G8" s="9" t="str">
        <x:v>極希少</x:v>
      </x:c>
      <x:c r="H8" s="36"/>
    </x:row>
    <x:row r="9" ht="15" hidden="0" customHeight="1">
      <x:c r="A9" s="36"/>
      <x:c r="B9" s="36"/>
      <x:c r="C9" s="36"/>
      <x:c r="D9" s="36"/>
      <x:c r="E9" s="36"/>
      <x:c r="F9" s="36"/>
      <x:c r="G9" s="36"/>
      <x:c r="H9" s="36"/>
    </x:row>
    <x:row r="10" ht="15" hidden="0" customHeight="1">
      <x:c r="A10" s="6" t="str">
        <x:v>入力</x:v>
      </x:c>
      <x:c r="B10" s="7" t="str">
        <x:v>熱嚢 / Heat Sac</x:v>
      </x:c>
      <x:c r="C10" s="36"/>
      <x:c r="D10" s="36"/>
      <x:c r="E10" s="36"/>
      <x:c r="F10" s="36"/>
      <x:c r="G10" s="36"/>
      <x:c r="H10" s="36"/>
    </x:row>
    <x:row r="11" ht="15" hidden="0" customHeight="1">
      <x:c r="A11" s="6" t="str">
        <x:v>1回の入力</x:v>
      </x:c>
      <x:c r="B11" s="7" t="n">
        <x:v>1</x:v>
      </x:c>
      <x:c r="C11" s="36"/>
      <x:c r="D11" s="36"/>
      <x:c r="E11" s="36"/>
      <x:c r="F11" s="36"/>
      <x:c r="G11" s="36"/>
      <x:c r="H11" s="36"/>
    </x:row>
    <x:row r="12" ht="15" hidden="0" customHeight="1">
      <x:c r="A12" s="6" t="str">
        <x:v>必要選別回数</x:v>
      </x:c>
      <x:c r="B12" s="7" t="n">
        <x:v>120</x:v>
      </x:c>
      <x:c r="C12" s="36"/>
      <x:c r="D12" s="36"/>
      <x:c r="E12" s="36"/>
      <x:c r="F12" s="36"/>
      <x:c r="G12" s="36"/>
      <x:c r="H12" s="36"/>
    </x:row>
    <x:row r="13" ht="15" hidden="0" customHeight="1">
      <x:c r="A13" s="8" t="str">
        <x:v>計算</x:v>
      </x:c>
      <x:c r="B13" s="9" t="str">
        <x:v>MAX（各必要数 ÷ 出現率）の切上げ</x:v>
      </x:c>
      <x:c r="C13" s="36"/>
      <x:c r="D13" s="36"/>
      <x:c r="E13" s="36"/>
      <x:c r="F13" s="36"/>
      <x:c r="G13" s="36"/>
      <x:c r="H13" s="36"/>
    </x:row>
    <x:row r="14" ht="15" hidden="0" customHeight="1">
      <x:c r="A14" s="36"/>
      <x:c r="B14" s="36"/>
      <x:c r="C14" s="36"/>
      <x:c r="D14" s="36"/>
      <x:c r="E14" s="36"/>
      <x:c r="F14" s="36"/>
      <x:c r="G14" s="36"/>
      <x:c r="H14" s="36"/>
    </x:row>
    <x:row r="15" ht="15" hidden="0" customHeight="1">
      <x:c r="A15" s="39" t="str">
        <x:v>出現率は仮設定です。実際のプレイ時間とドロップ感触に合わせ、70% / 20% / 10%を調整してください。</x:v>
      </x:c>
      <x:c r="B15" s="36"/>
      <x:c r="C15" s="36"/>
      <x:c r="D15" s="36"/>
      <x:c r="E15" s="36"/>
      <x:c r="F15" s="36"/>
      <x:c r="G15" s="36"/>
      <x:c r="H15" s="36"/>
    </x:row>
  </x:sheetData>
  <x:mergeCells>
    <x:mergeCell ref="A2:H2"/>
    <x:mergeCell ref="A15:G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7A84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34" hidden="0" customWidth="1"/>
    <x:col min="5" max="5" width="38" hidden="0" customWidth="1"/>
  </x:cols>
  <x:sheetData>
    <x:row r="2" ht="18" hidden="0" customHeight="1">
      <x:c r="A2" s="35" t="str">
        <x:v>英語先行の名称対照・意味確認</x:v>
      </x:c>
      <x:c r="B2" s="36"/>
      <x:c r="C2" s="36"/>
      <x:c r="D2" s="36"/>
      <x:c r="E2" s="36"/>
      <x:c r="F2" s="36"/>
      <x:c r="G2" s="36"/>
    </x:row>
    <x:row r="3" ht="15" hidden="0" customHeight="1">
      <x:c r="A3" s="37"/>
      <x:c r="B3" s="37"/>
      <x:c r="C3" s="37"/>
      <x:c r="D3" s="37"/>
      <x:c r="E3" s="37"/>
      <x:c r="F3" s="37"/>
      <x:c r="G3" s="37"/>
    </x:row>
    <x:row r="4" ht="15" hidden="0" customHeight="1">
      <x:c r="A4" s="36"/>
      <x:c r="B4" s="36"/>
      <x:c r="C4" s="36"/>
      <x:c r="D4" s="36"/>
      <x:c r="E4" s="36"/>
      <x:c r="F4" s="36"/>
      <x:c r="G4" s="36"/>
    </x:row>
    <x:row r="5" ht="15" hidden="0" customHeight="1">
      <x:c r="A5" s="15" t="str">
        <x:v>区分</x:v>
      </x:c>
      <x:c r="B5" s="16" t="str">
        <x:v>English（先に決定）</x:v>
      </x:c>
      <x:c r="C5" s="16" t="str">
        <x:v>日本語名</x:v>
      </x:c>
      <x:c r="D5" s="16" t="str">
        <x:v>日本語での意味</x:v>
      </x:c>
      <x:c r="E5" s="17" t="str">
        <x:v>再確認</x:v>
      </x:c>
      <x:c r="F5" s="36"/>
      <x:c r="G5" s="36"/>
    </x:row>
    <x:row r="6" ht="15" hidden="0" customHeight="1">
      <x:c r="A6" s="18" t="str">
        <x:v>施設</x:v>
      </x:c>
      <x:c r="B6" s="18" t="str">
        <x:v>Prep Bench</x:v>
      </x:c>
      <x:c r="C6" s="18" t="str">
        <x:v>基礎加工台</x:v>
      </x:c>
      <x:c r="D6" s="18" t="str">
        <x:v>準備・基礎加工用の作業台</x:v>
      </x:c>
      <x:c r="E6" s="18" t="str">
        <x:v>一致。短さを優先</x:v>
      </x:c>
      <x:c r="F6" s="36"/>
      <x:c r="G6" s="36"/>
    </x:row>
    <x:row r="7" ht="15" hidden="0" customHeight="1">
      <x:c r="A7" s="18" t="str">
        <x:v>施設</x:v>
      </x:c>
      <x:c r="B7" s="18" t="str">
        <x:v>Sac Sorter</x:v>
      </x:c>
      <x:c r="C7" s="18" t="str">
        <x:v>熱嚢選別機</x:v>
      </x:c>
      <x:c r="D7" s="18" t="str">
        <x:v>嚢を選別する機械</x:v>
      </x:c>
      <x:c r="E7" s="18" t="str">
        <x:v>一致。投入物を日本語側で明示</x:v>
      </x:c>
      <x:c r="F7" s="36"/>
      <x:c r="G7" s="36"/>
    </x:row>
    <x:row r="8" ht="15" hidden="0" customHeight="1">
      <x:c r="A8" s="18" t="str">
        <x:v>施設</x:v>
      </x:c>
      <x:c r="B8" s="18" t="str">
        <x:v>Symbio Vat</x:v>
      </x:c>
      <x:c r="C8" s="18" t="str">
        <x:v>共生組立槽</x:v>
      </x:c>
      <x:c r="D8" s="18" t="str">
        <x:v>共生処理用の槽</x:v>
      </x:c>
      <x:c r="E8" s="18" t="str">
        <x:v>一致。Symbioは短縮語</x:v>
      </x:c>
      <x:c r="F8" s="36"/>
      <x:c r="G8" s="36"/>
    </x:row>
    <x:row r="9" ht="15" hidden="0" customHeight="1">
      <x:c r="A9" s="18" t="str">
        <x:v>施設</x:v>
      </x:c>
      <x:c r="B9" s="18" t="str">
        <x:v>Phase Mill</x:v>
      </x:c>
      <x:c r="C9" s="18" t="str">
        <x:v>位相工作機</x:v>
      </x:c>
      <x:c r="D9" s="18" t="str">
        <x:v>位相素材を加工する設備</x:v>
      </x:c>
      <x:c r="E9" s="18" t="str">
        <x:v>一致。Millは加工設備の意味</x:v>
      </x:c>
      <x:c r="F9" s="36"/>
      <x:c r="G9" s="36"/>
    </x:row>
    <x:row r="10" ht="15" hidden="0" customHeight="1">
      <x:c r="A10" s="18" t="str">
        <x:v>施設</x:v>
      </x:c>
      <x:c r="B10" s="18" t="str">
        <x:v>Jump Rig</x:v>
      </x:c>
      <x:c r="C10" s="18" t="str">
        <x:v>跳躍機関架台</x:v>
      </x:c>
      <x:c r="D10" s="18" t="str">
        <x:v>跳躍装置の組立架台</x:v>
      </x:c>
      <x:c r="E10" s="18" t="str">
        <x:v>一致。Rigは架台・装置一式</x:v>
      </x:c>
      <x:c r="F10" s="36"/>
      <x:c r="G10" s="36"/>
    </x:row>
    <x:row r="11" ht="15" hidden="0" customHeight="1">
      <x:c r="A11" s="18" t="str">
        <x:v>原素材</x:v>
      </x:c>
      <x:c r="B11" s="18" t="str">
        <x:v>Iron Scale</x:v>
      </x:c>
      <x:c r="C11" s="18" t="str">
        <x:v>鉄鱗</x:v>
      </x:c>
      <x:c r="D11" s="18" t="str">
        <x:v>鉄質の鱗</x:v>
      </x:c>
      <x:c r="E11" s="18" t="str">
        <x:v>一致</x:v>
      </x:c>
      <x:c r="F11" s="36"/>
      <x:c r="G11" s="36"/>
    </x:row>
    <x:row r="12" ht="15" hidden="0" customHeight="1">
      <x:c r="A12" s="18" t="str">
        <x:v>原素材</x:v>
      </x:c>
      <x:c r="B12" s="18" t="str">
        <x:v>Heat Sac</x:v>
      </x:c>
      <x:c r="C12" s="18" t="str">
        <x:v>熱嚢</x:v>
      </x:c>
      <x:c r="D12" s="18" t="str">
        <x:v>熱を持つ嚢</x:v>
      </x:c>
      <x:c r="E12" s="18" t="str">
        <x:v>一致</x:v>
      </x:c>
      <x:c r="F12" s="36"/>
      <x:c r="G12" s="36"/>
    </x:row>
    <x:row r="13" ht="15" hidden="0" customHeight="1">
      <x:c r="A13" s="18" t="str">
        <x:v>燃料</x:v>
      </x:c>
      <x:c r="B13" s="18" t="str">
        <x:v>Volt Jelly</x:v>
      </x:c>
      <x:c r="C13" s="18" t="str">
        <x:v>蓄電クラゲ</x:v>
      </x:c>
      <x:c r="D13" s="18" t="str">
        <x:v>加工せず直接投入する燃料生物</x:v>
      </x:c>
      <x:c r="E13" s="18" t="str">
        <x:v>素材集計から除外</x:v>
      </x:c>
      <x:c r="F13" s="36"/>
      <x:c r="G13" s="36"/>
    </x:row>
    <x:row r="14" ht="15" hidden="0" customHeight="1">
      <x:c r="A14" s="18" t="str">
        <x:v>原素材</x:v>
      </x:c>
      <x:c r="B14" s="18" t="str">
        <x:v>Flux Horn</x:v>
      </x:c>
      <x:c r="C14" s="18" t="str">
        <x:v>磁角</x:v>
      </x:c>
      <x:c r="D14" s="18" t="str">
        <x:v>磁束を持つ角</x:v>
      </x:c>
      <x:c r="E14" s="18" t="str">
        <x:v>一致</x:v>
      </x:c>
      <x:c r="F14" s="36"/>
      <x:c r="G14" s="36"/>
    </x:row>
    <x:row r="15" ht="15" hidden="0" customHeight="1">
      <x:c r="A15" s="18" t="str">
        <x:v>原素材</x:v>
      </x:c>
      <x:c r="B15" s="18" t="str">
        <x:v>Star Crystal</x:v>
      </x:c>
      <x:c r="C15" s="18" t="str">
        <x:v>星紋晶</x:v>
      </x:c>
      <x:c r="D15" s="18" t="str">
        <x:v>星模様の結晶</x:v>
      </x:c>
      <x:c r="E15" s="18" t="str">
        <x:v>一致</x:v>
      </x:c>
      <x:c r="F15" s="36"/>
      <x:c r="G15" s="36"/>
    </x:row>
    <x:row r="16" ht="15" hidden="0" customHeight="1">
      <x:c r="A16" s="18" t="str">
        <x:v>原素材</x:v>
      </x:c>
      <x:c r="B16" s="18" t="str">
        <x:v>Phase Shard</x:v>
      </x:c>
      <x:c r="C16" s="18" t="str">
        <x:v>位相片</x:v>
      </x:c>
      <x:c r="D16" s="18" t="str">
        <x:v>位相性を持つ破片</x:v>
      </x:c>
      <x:c r="E16" s="18" t="str">
        <x:v>一致</x:v>
      </x:c>
      <x:c r="F16" s="36"/>
      <x:c r="G16" s="36"/>
    </x:row>
    <x:row r="17" ht="15" hidden="0" customHeight="1">
      <x:c r="A17" s="18" t="str">
        <x:v>原素材</x:v>
      </x:c>
      <x:c r="B17" s="18" t="str">
        <x:v>Orbit Silk</x:v>
      </x:c>
      <x:c r="C17" s="18" t="str">
        <x:v>軌道絹</x:v>
      </x:c>
      <x:c r="D17" s="18" t="str">
        <x:v>軌道繭由来の絹</x:v>
      </x:c>
      <x:c r="E17" s="18" t="str">
        <x:v>一致</x:v>
      </x:c>
      <x:c r="F17" s="36"/>
      <x:c r="G17" s="36"/>
    </x:row>
    <x:row r="18" ht="15" hidden="0" customHeight="1">
      <x:c r="A18" s="18" t="str">
        <x:v>選別素材</x:v>
      </x:c>
      <x:c r="B18" s="18" t="str">
        <x:v>Sac Skin</x:v>
      </x:c>
      <x:c r="C18" s="18" t="str">
        <x:v>嚢皮</x:v>
      </x:c>
      <x:c r="D18" s="18" t="str">
        <x:v>熱嚢の外皮</x:v>
      </x:c>
      <x:c r="E18" s="18" t="str">
        <x:v>一致</x:v>
      </x:c>
      <x:c r="F18" s="36"/>
      <x:c r="G18" s="36"/>
    </x:row>
    <x:row r="19" ht="15" hidden="0" customHeight="1">
      <x:c r="A19" s="18" t="str">
        <x:v>選別素材</x:v>
      </x:c>
      <x:c r="B19" s="18" t="str">
        <x:v>Core Seed</x:v>
      </x:c>
      <x:c r="C19" s="18" t="str">
        <x:v>芯種</x:v>
      </x:c>
      <x:c r="D19" s="18" t="str">
        <x:v>内部の特殊な種</x:v>
      </x:c>
      <x:c r="E19" s="18" t="str">
        <x:v>一致</x:v>
      </x:c>
      <x:c r="F19" s="36"/>
      <x:c r="G19" s="36"/>
    </x:row>
    <x:row r="20" ht="15" hidden="0" customHeight="1">
      <x:c r="A20" s="18" t="str">
        <x:v>選別素材</x:v>
      </x:c>
      <x:c r="B20" s="18" t="str">
        <x:v>Heat Filament</x:v>
      </x:c>
      <x:c r="C20" s="18" t="str">
        <x:v>熱糸</x:v>
      </x:c>
      <x:c r="D20" s="18" t="str">
        <x:v>熱性の細い繊維</x:v>
      </x:c>
      <x:c r="E20" s="18" t="str">
        <x:v>一致。Filamentを短く訳す</x:v>
      </x:c>
      <x:c r="F20" s="36"/>
      <x:c r="G20" s="36"/>
    </x:row>
    <x:row r="21" ht="15" hidden="0" customHeight="1">
      <x:c r="A21" s="18" t="str">
        <x:v>中間品</x:v>
      </x:c>
      <x:c r="B21" s="18" t="str">
        <x:v>Scale Plate</x:v>
      </x:c>
      <x:c r="C21" s="18" t="str">
        <x:v>鱗鉄板</x:v>
      </x:c>
      <x:c r="D21" s="18" t="str">
        <x:v>鱗由来の板材</x:v>
      </x:c>
      <x:c r="E21" s="18" t="str">
        <x:v>一致</x:v>
      </x:c>
      <x:c r="F21" s="36"/>
      <x:c r="G21" s="36"/>
    </x:row>
    <x:row r="22" ht="15" hidden="0" customHeight="1">
      <x:c r="A22" s="18" t="str">
        <x:v>中間品</x:v>
      </x:c>
      <x:c r="B22" s="18" t="str">
        <x:v>Flux Wire</x:v>
      </x:c>
      <x:c r="C22" s="18" t="str">
        <x:v>磁束線</x:v>
      </x:c>
      <x:c r="D22" s="18" t="str">
        <x:v>磁角と軌道絹で作る線材</x:v>
      </x:c>
      <x:c r="E22" s="18" t="str">
        <x:v>一致。蓄電クラゲ不使用</x:v>
      </x:c>
      <x:c r="F22" s="36"/>
      <x:c r="G22" s="36"/>
    </x:row>
    <x:row r="23" ht="15" hidden="0" customHeight="1">
      <x:c r="A23" s="18" t="str">
        <x:v>中間品</x:v>
      </x:c>
      <x:c r="B23" s="18" t="str">
        <x:v>Flux Core</x:v>
      </x:c>
      <x:c r="C23" s="18" t="str">
        <x:v>磁芯</x:v>
      </x:c>
      <x:c r="D23" s="18" t="str">
        <x:v>磁束用の芯</x:v>
      </x:c>
      <x:c r="E23" s="18" t="str">
        <x:v>一致</x:v>
      </x:c>
      <x:c r="F23" s="36"/>
      <x:c r="G23" s="36"/>
    </x:row>
    <x:row r="24" ht="15" hidden="0" customHeight="1">
      <x:c r="A24" s="18" t="str">
        <x:v>中間品</x:v>
      </x:c>
      <x:c r="B24" s="18" t="str">
        <x:v>Star Chip</x:v>
      </x:c>
      <x:c r="C24" s="18" t="str">
        <x:v>晶片</x:v>
      </x:c>
      <x:c r="D24" s="18" t="str">
        <x:v>星紋晶の小片</x:v>
      </x:c>
      <x:c r="E24" s="18" t="str">
        <x:v>一致。日本語は短さを優先</x:v>
      </x:c>
      <x:c r="F24" s="36"/>
      <x:c r="G24" s="36"/>
    </x:row>
    <x:row r="25" ht="15" hidden="0" customHeight="1">
      <x:c r="A25" s="18" t="str">
        <x:v>中間品</x:v>
      </x:c>
      <x:c r="B25" s="18" t="str">
        <x:v>Phase Dust</x:v>
      </x:c>
      <x:c r="C25" s="18" t="str">
        <x:v>位相粉</x:v>
      </x:c>
      <x:c r="D25" s="18" t="str">
        <x:v>位相素材の粉末</x:v>
      </x:c>
      <x:c r="E25" s="18" t="str">
        <x:v>一致</x:v>
      </x:c>
      <x:c r="F25" s="36"/>
      <x:c r="G25" s="36"/>
    </x:row>
    <x:row r="26" ht="15" hidden="0" customHeight="1">
      <x:c r="A26" s="18" t="str">
        <x:v>中間品</x:v>
      </x:c>
      <x:c r="B26" s="18" t="str">
        <x:v>Orbit Cloth</x:v>
      </x:c>
      <x:c r="C26" s="18" t="str">
        <x:v>軌道布</x:v>
      </x:c>
      <x:c r="D26" s="18" t="str">
        <x:v>軌道絹の布</x:v>
      </x:c>
      <x:c r="E26" s="18" t="str">
        <x:v>一致</x:v>
      </x:c>
      <x:c r="F26" s="36"/>
      <x:c r="G26" s="36"/>
    </x:row>
    <x:row r="27" ht="15" hidden="0" customHeight="1">
      <x:c r="A27" s="18" t="str">
        <x:v>中間品</x:v>
      </x:c>
      <x:c r="B27" s="18" t="str">
        <x:v>Bio Wire</x:v>
      </x:c>
      <x:c r="C27" s="18" t="str">
        <x:v>生体配線</x:v>
      </x:c>
      <x:c r="D27" s="18" t="str">
        <x:v>生体素材の配線</x:v>
      </x:c>
      <x:c r="E27" s="18" t="str">
        <x:v>一致</x:v>
      </x:c>
      <x:c r="F27" s="36"/>
      <x:c r="G27" s="36"/>
    </x:row>
    <x:row r="28" ht="15" hidden="0" customHeight="1">
      <x:c r="A28" s="18" t="str">
        <x:v>中間品</x:v>
      </x:c>
      <x:c r="B28" s="18" t="str">
        <x:v>Flux Coil</x:v>
      </x:c>
      <x:c r="C28" s="18" t="str">
        <x:v>磁束コイル</x:v>
      </x:c>
      <x:c r="D28" s="18" t="str">
        <x:v>磁束を作るコイル</x:v>
      </x:c>
      <x:c r="E28" s="18" t="str">
        <x:v>一致</x:v>
      </x:c>
      <x:c r="F28" s="36"/>
      <x:c r="G28" s="36"/>
    </x:row>
    <x:row r="29" ht="15" hidden="0" customHeight="1">
      <x:c r="A29" s="18" t="str">
        <x:v>中間品</x:v>
      </x:c>
      <x:c r="B29" s="18" t="str">
        <x:v>Star Circuit</x:v>
      </x:c>
      <x:c r="C29" s="18" t="str">
        <x:v>星紋回路</x:v>
      </x:c>
      <x:c r="D29" s="18" t="str">
        <x:v>星紋晶を使う回路</x:v>
      </x:c>
      <x:c r="E29" s="18" t="str">
        <x:v>一致</x:v>
      </x:c>
      <x:c r="F29" s="36"/>
      <x:c r="G29" s="36"/>
    </x:row>
    <x:row r="30" ht="15" hidden="0" customHeight="1">
      <x:c r="A30" s="18" t="str">
        <x:v>中間品</x:v>
      </x:c>
      <x:c r="B30" s="18" t="str">
        <x:v>Phase Weave</x:v>
      </x:c>
      <x:c r="C30" s="18" t="str">
        <x:v>位相織膜</x:v>
      </x:c>
      <x:c r="D30" s="18" t="str">
        <x:v>位相素材を織った膜</x:v>
      </x:c>
      <x:c r="E30" s="18" t="str">
        <x:v>一致</x:v>
      </x:c>
      <x:c r="F30" s="36"/>
      <x:c r="G30" s="36"/>
    </x:row>
    <x:row r="31" ht="15" hidden="0" customHeight="1">
      <x:c r="A31" s="18" t="str">
        <x:v>中間品</x:v>
      </x:c>
      <x:c r="B31" s="18" t="str">
        <x:v>Charge Cell</x:v>
      </x:c>
      <x:c r="C31" s="18" t="str">
        <x:v>蓄電胞</x:v>
      </x:c>
      <x:c r="D31" s="18" t="str">
        <x:v>電気を蓄える細胞状部品</x:v>
      </x:c>
      <x:c r="E31" s="18" t="str">
        <x:v>一致</x:v>
      </x:c>
      <x:c r="F31" s="36"/>
      <x:c r="G31" s="36"/>
    </x:row>
    <x:row r="32" ht="15" hidden="0" customHeight="1">
      <x:c r="A32" s="18" t="str">
        <x:v>中間品</x:v>
      </x:c>
      <x:c r="B32" s="18" t="str">
        <x:v>Frame Beam</x:v>
      </x:c>
      <x:c r="C32" s="18" t="str">
        <x:v>骨格梁</x:v>
      </x:c>
      <x:c r="D32" s="18" t="str">
        <x:v>機体骨格用の梁</x:v>
      </x:c>
      <x:c r="E32" s="18" t="str">
        <x:v>一致</x:v>
      </x:c>
      <x:c r="F32" s="36"/>
      <x:c r="G32" s="36"/>
    </x:row>
    <x:row r="33" ht="15" hidden="0" customHeight="1">
      <x:c r="A33" s="18" t="str">
        <x:v>上位品</x:v>
      </x:c>
      <x:c r="B33" s="18" t="str">
        <x:v>Nav Core</x:v>
      </x:c>
      <x:c r="C33" s="18" t="str">
        <x:v>航法核</x:v>
      </x:c>
      <x:c r="D33" s="18" t="str">
        <x:v>航法処理の中核</x:v>
      </x:c>
      <x:c r="E33" s="18" t="str">
        <x:v>一致</x:v>
      </x:c>
      <x:c r="F33" s="36"/>
      <x:c r="G33" s="36"/>
    </x:row>
    <x:row r="34" ht="15" hidden="0" customHeight="1">
      <x:c r="A34" s="18" t="str">
        <x:v>上位品</x:v>
      </x:c>
      <x:c r="B34" s="18" t="str">
        <x:v>Phase Ring</x:v>
      </x:c>
      <x:c r="C34" s="18" t="str">
        <x:v>位相環</x:v>
      </x:c>
      <x:c r="D34" s="18" t="str">
        <x:v>位相場を作る環</x:v>
      </x:c>
      <x:c r="E34" s="18" t="str">
        <x:v>一致</x:v>
      </x:c>
      <x:c r="F34" s="36"/>
      <x:c r="G34" s="36"/>
    </x:row>
    <x:row r="35" ht="15" hidden="0" customHeight="1">
      <x:c r="A35" s="18" t="str">
        <x:v>上位品</x:v>
      </x:c>
      <x:c r="B35" s="18" t="str">
        <x:v>Exciter</x:v>
      </x:c>
      <x:c r="C35" s="18" t="str">
        <x:v>励起炉</x:v>
      </x:c>
      <x:c r="D35" s="18" t="str">
        <x:v>エネルギーを励起する装置</x:v>
      </x:c>
      <x:c r="E35" s="18" t="str">
        <x:v>概ね一致。炉は日本語側の世界観表現</x:v>
      </x:c>
      <x:c r="F35" s="36"/>
      <x:c r="G35" s="36"/>
    </x:row>
    <x:row r="36" ht="15" hidden="0" customHeight="1">
      <x:c r="A36" s="18" t="str">
        <x:v>上位品</x:v>
      </x:c>
      <x:c r="B36" s="18" t="str">
        <x:v>Boundary Unit</x:v>
      </x:c>
      <x:c r="C36" s="18" t="str">
        <x:v>界面制御器</x:v>
      </x:c>
      <x:c r="D36" s="18" t="str">
        <x:v>境界面を制御する装置</x:v>
      </x:c>
      <x:c r="E36" s="18" t="str">
        <x:v>一致。Unitは短縮</x:v>
      </x:c>
      <x:c r="F36" s="36"/>
      <x:c r="G36" s="36"/>
    </x:row>
    <x:row r="37" ht="15" hidden="0" customHeight="1">
      <x:c r="A37" s="18" t="str">
        <x:v>上位品</x:v>
      </x:c>
      <x:c r="B37" s="18" t="str">
        <x:v>Mount Frame</x:v>
      </x:c>
      <x:c r="C37" s="18" t="str">
        <x:v>固定架</x:v>
      </x:c>
      <x:c r="D37" s="18" t="str">
        <x:v>装置を固定する枠</x:v>
      </x:c>
      <x:c r="E37" s="18" t="str">
        <x:v>一致</x:v>
      </x:c>
      <x:c r="F37" s="36"/>
      <x:c r="G37" s="36"/>
    </x:row>
    <x:row r="38" ht="15" hidden="0" customHeight="1">
      <x:c r="A38" s="19" t="str">
        <x:v>最終品</x:v>
      </x:c>
      <x:c r="B38" s="19" t="str">
        <x:v>Starjump Drive</x:v>
      </x:c>
      <x:c r="C38" s="19" t="str">
        <x:v>星間跳躍機関</x:v>
      </x:c>
      <x:c r="D38" s="19" t="str">
        <x:v>恒星間跳躍用の駆動機関</x:v>
      </x:c>
      <x:c r="E38" s="19" t="str">
        <x:v>一致。Interstellarより短い</x:v>
      </x:c>
      <x:c r="F38" s="36"/>
      <x:c r="G38" s="36"/>
    </x:row>
  </x:sheetData>
  <x:mergeCells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7A84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8" hidden="0" customWidth="1"/>
    <x:col min="4" max="4" width="12" hidden="0" customWidth="1"/>
    <x:col min="5" max="5" width="48" hidden="0" customWidth="1"/>
  </x:cols>
  <x:sheetData>
    <x:row r="2" ht="18" hidden="0" customHeight="1">
      <x:c r="A2" s="35" t="str">
        <x:v>元表からの対応・再設計方針</x:v>
      </x:c>
      <x:c r="B2" s="36"/>
      <x:c r="C2" s="36"/>
      <x:c r="D2" s="36"/>
      <x:c r="E2" s="36"/>
      <x:c r="F2" s="36"/>
      <x:c r="G2" s="36"/>
    </x:row>
    <x:row r="3" ht="15" hidden="0" customHeight="1">
      <x:c r="A3" s="37"/>
      <x:c r="B3" s="37"/>
      <x:c r="C3" s="37"/>
      <x:c r="D3" s="37"/>
      <x:c r="E3" s="37"/>
      <x:c r="F3" s="37"/>
      <x:c r="G3" s="37"/>
    </x:row>
    <x:row r="4" ht="15" hidden="0" customHeight="1">
      <x:c r="A4" s="36"/>
      <x:c r="B4" s="36"/>
      <x:c r="C4" s="36"/>
      <x:c r="D4" s="36"/>
      <x:c r="E4" s="36"/>
      <x:c r="F4" s="36"/>
      <x:c r="G4" s="36"/>
    </x:row>
    <x:row r="5" ht="15" hidden="0" customHeight="1">
      <x:c r="A5" s="15" t="str">
        <x:v>元表の要素</x:v>
      </x:c>
      <x:c r="B5" s="16" t="str">
        <x:v>English</x:v>
      </x:c>
      <x:c r="C5" s="16" t="str">
        <x:v>日本語名</x:v>
      </x:c>
      <x:c r="D5" s="16" t="str">
        <x:v>変更種別</x:v>
      </x:c>
      <x:c r="E5" s="17" t="str">
        <x:v>意図</x:v>
      </x:c>
      <x:c r="F5" s="36"/>
      <x:c r="G5" s="36"/>
    </x:row>
    <x:row r="6" ht="15" hidden="0" customHeight="1">
      <x:c r="A6" s="18" t="str">
        <x:v>かまど・ふるい機</x:v>
      </x:c>
      <x:c r="B6" s="18" t="str">
        <x:v>Prep Bench</x:v>
      </x:c>
      <x:c r="C6" s="18" t="str">
        <x:v>基礎加工台</x:v>
      </x:c>
      <x:c r="D6" s="18" t="str">
        <x:v>統合</x:v>
      </x:c>
      <x:c r="E6" s="18" t="str">
        <x:v>基礎素材はレシピ切替で1台加工</x:v>
      </x:c>
      <x:c r="F6" s="36"/>
      <x:c r="G6" s="36"/>
    </x:row>
    <x:row r="7" ht="15" hidden="0" customHeight="1">
      <x:c r="A7" s="18" t="str">
        <x:v>土を選別</x:v>
      </x:c>
      <x:c r="B7" s="18" t="str">
        <x:v>Sac Sorter</x:v>
      </x:c>
      <x:c r="C7" s="18" t="str">
        <x:v>熱嚢選別機</x:v>
      </x:c>
      <x:c r="D7" s="18" t="str">
        <x:v>役割継承</x:v>
      </x:c>
      <x:c r="E7" s="18" t="str">
        <x:v>熱嚢1個から確率で嚢皮・芯種・熱糸を得る</x:v>
      </x:c>
      <x:c r="F7" s="36"/>
      <x:c r="G7" s="36"/>
    </x:row>
    <x:row r="8" ht="15" hidden="0" customHeight="1">
      <x:c r="A8" s="18" t="str">
        <x:v>板・各種インゴット</x:v>
      </x:c>
      <x:c r="B8" s="18" t="str">
        <x:v>Scale Plateほか</x:v>
      </x:c>
      <x:c r="C8" s="18" t="str">
        <x:v>鱗鉄板ほか</x:v>
      </x:c>
      <x:c r="D8" s="18" t="str">
        <x:v>再編</x:v>
      </x:c>
      <x:c r="E8" s="18" t="str">
        <x:v>鉱物加工を現地生態素材の部材化へ変更</x:v>
      </x:c>
      <x:c r="F8" s="36"/>
      <x:c r="G8" s="36"/>
    </x:row>
    <x:row r="9" ht="15" hidden="0" customHeight="1">
      <x:c r="A9" s="18" t="str">
        <x:v>組立機</x:v>
      </x:c>
      <x:c r="B9" s="18" t="str">
        <x:v>Symbio Vat</x:v>
      </x:c>
      <x:c r="C9" s="18" t="str">
        <x:v>共生組立槽</x:v>
      </x:c>
      <x:c r="D9" s="18" t="str">
        <x:v>置換</x:v>
      </x:c>
      <x:c r="E9" s="18" t="str">
        <x:v>Tier2から固有SF語を導入</x:v>
      </x:c>
      <x:c r="F9" s="36"/>
      <x:c r="G9" s="36"/>
    </x:row>
    <x:row r="10" ht="15" hidden="0" customHeight="1">
      <x:c r="A10" s="18" t="str">
        <x:v>鉄パイプ・銅線</x:v>
      </x:c>
      <x:c r="B10" s="18" t="str">
        <x:v>Frame Beam / Bio Wire</x:v>
      </x:c>
      <x:c r="C10" s="18" t="str">
        <x:v>骨格梁・生体配線</x:v>
      </x:c>
      <x:c r="D10" s="18" t="str">
        <x:v>分岐</x:v>
      </x:c>
      <x:c r="E10" s="18" t="str">
        <x:v>構造材と配線材の役割を継承</x:v>
      </x:c>
      <x:c r="F10" s="36"/>
      <x:c r="G10" s="36"/>
    </x:row>
    <x:row r="11" ht="15" hidden="0" customHeight="1">
      <x:c r="A11" s="18" t="str">
        <x:v>コイル・バッテリー</x:v>
      </x:c>
      <x:c r="B11" s="18" t="str">
        <x:v>Flux Coil / Charge Cell</x:v>
      </x:c>
      <x:c r="C11" s="18" t="str">
        <x:v>磁束コイル・蓄電胞</x:v>
      </x:c>
      <x:c r="D11" s="18" t="str">
        <x:v>置換</x:v>
      </x:c>
      <x:c r="E11" s="18" t="str">
        <x:v>電磁・蓄電機能を生態素材化</x:v>
      </x:c>
      <x:c r="F11" s="36"/>
      <x:c r="G11" s="36"/>
    </x:row>
    <x:row r="12" ht="15" hidden="0" customHeight="1">
      <x:c r="A12" s="18" t="str">
        <x:v>ウェハー・回路基板</x:v>
      </x:c>
      <x:c r="B12" s="18" t="str">
        <x:v>Star Circuit / Phase Weave</x:v>
      </x:c>
      <x:c r="C12" s="18" t="str">
        <x:v>星紋回路・位相織膜</x:v>
      </x:c>
      <x:c r="D12" s="18" t="str">
        <x:v>再編</x:v>
      </x:c>
      <x:c r="E12" s="18" t="str">
        <x:v>電子部品を航法・位相制御材へ変更</x:v>
      </x:c>
      <x:c r="F12" s="36"/>
      <x:c r="G12" s="36"/>
    </x:row>
    <x:row r="13" ht="15" hidden="0" customHeight="1">
      <x:c r="A13" s="18" t="str">
        <x:v>製造機</x:v>
      </x:c>
      <x:c r="B13" s="18" t="str">
        <x:v>Phase Mill</x:v>
      </x:c>
      <x:c r="C13" s="18" t="str">
        <x:v>位相工作機</x:v>
      </x:c>
      <x:c r="D13" s="18" t="str">
        <x:v>置換</x:v>
      </x:c>
      <x:c r="E13" s="18" t="str">
        <x:v>上位モジュール専用設備</x:v>
      </x:c>
      <x:c r="F13" s="36"/>
      <x:c r="G13" s="36"/>
    </x:row>
    <x:row r="14" ht="15" hidden="0" customHeight="1">
      <x:c r="A14" s="18" t="str">
        <x:v>CPU・RAM・マザーボード</x:v>
      </x:c>
      <x:c r="B14" s="18" t="str">
        <x:v>Nav Core / Boundary Unit</x:v>
      </x:c>
      <x:c r="C14" s="18" t="str">
        <x:v>航法核・界面制御器</x:v>
      </x:c>
      <x:c r="D14" s="18" t="str">
        <x:v>統合</x:v>
      </x:c>
      <x:c r="E14" s="18" t="str">
        <x:v>計算機構を航法制御系へまとめる</x:v>
      </x:c>
      <x:c r="F14" s="36"/>
      <x:c r="G14" s="36"/>
    </x:row>
    <x:row r="15" ht="15" hidden="0" customHeight="1">
      <x:c r="A15" s="18" t="str">
        <x:v>ファン・PCケース</x:v>
      </x:c>
      <x:c r="B15" s="18" t="str">
        <x:v>Mount Frame / Phase Ring</x:v>
      </x:c>
      <x:c r="C15" s="18" t="str">
        <x:v>固定架・位相環</x:v>
      </x:c>
      <x:c r="D15" s="18" t="str">
        <x:v>再編</x:v>
      </x:c>
      <x:c r="E15" s="18" t="str">
        <x:v>冷却箱から船体固定・跳躍場形成へ変更</x:v>
      </x:c>
      <x:c r="F15" s="36"/>
      <x:c r="G15" s="36"/>
    </x:row>
    <x:row r="16" ht="15" hidden="0" customHeight="1">
      <x:c r="A16" s="18" t="str">
        <x:v>電源ユニット</x:v>
      </x:c>
      <x:c r="B16" s="18" t="str">
        <x:v>Exciter</x:v>
      </x:c>
      <x:c r="C16" s="18" t="str">
        <x:v>励起炉</x:v>
      </x:c>
      <x:c r="D16" s="18" t="str">
        <x:v>置換</x:v>
      </x:c>
      <x:c r="E16" s="18" t="str">
        <x:v>跳躍エネルギー供給部へ変更</x:v>
      </x:c>
      <x:c r="F16" s="36"/>
      <x:c r="G16" s="36"/>
    </x:row>
    <x:row r="17" ht="15" hidden="0" customHeight="1">
      <x:c r="A17" s="19" t="str">
        <x:v>コンピュータ</x:v>
      </x:c>
      <x:c r="B17" s="19" t="str">
        <x:v>Starjump Drive</x:v>
      </x:c>
      <x:c r="C17" s="19" t="str">
        <x:v>星間跳躍機関</x:v>
      </x:c>
      <x:c r="D17" s="19" t="str">
        <x:v>置換</x:v>
      </x:c>
      <x:c r="E17" s="19" t="str">
        <x:v>脱出に必要な最終装置</x:v>
      </x:c>
      <x:c r="F17" s="36"/>
      <x:c r="G17" s="36"/>
    </x:row>
  </x:sheetData>
  <x:mergeCells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6717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 ht="18" hidden="0" customHeight="1">
      <x:c r="A2" s="35" t="str">
        <x:v>最終品1個からの再帰展開明細</x:v>
      </x:c>
      <x:c r="B2" s="36"/>
      <x:c r="C2" s="36"/>
      <x:c r="D2" s="36"/>
      <x:c r="E2" s="36"/>
      <x:c r="F2" s="36"/>
    </x:row>
    <x:row r="3" ht="15" hidden="0" customHeight="1">
      <x:c r="A3" s="37"/>
      <x:c r="B3" s="37"/>
      <x:c r="C3" s="37"/>
      <x:c r="D3" s="37"/>
      <x:c r="E3" s="37"/>
      <x:c r="F3" s="37"/>
    </x:row>
    <x:row r="4" ht="15" hidden="0" customHeight="1">
      <x:c r="A4" s="36"/>
      <x:c r="B4" s="36"/>
      <x:c r="C4" s="36"/>
      <x:c r="D4" s="36"/>
      <x:c r="E4" s="36"/>
      <x:c r="F4" s="36"/>
    </x:row>
    <x:row r="5" ht="15" hidden="0" customHeight="1">
      <x:c r="A5" s="15" t="str">
        <x:v>親品目</x:v>
      </x:c>
      <x:c r="B5" s="16" t="str">
        <x:v>品目</x:v>
      </x:c>
      <x:c r="C5" s="16" t="str">
        <x:v>必要数</x:v>
      </x:c>
      <x:c r="D5" s="16" t="str">
        <x:v>区分</x:v>
      </x:c>
      <x:c r="E5" s="17" t="str">
        <x:v>Tier</x:v>
      </x:c>
      <x:c r="F5" s="36"/>
    </x:row>
    <x:row r="6" ht="15" hidden="0" customHeight="1">
      <x:c r="A6" s="40" t="str">
        <x:v>最終目標</x:v>
      </x:c>
      <x:c r="B6" s="40" t="str">
        <x:v>星間跳躍機関</x:v>
      </x:c>
      <x:c r="C6" s="41" t="n">
        <x:v>1</x:v>
      </x:c>
      <x:c r="D6" s="40" t="str">
        <x:v>最終品</x:v>
      </x:c>
      <x:c r="E6" s="40" t="n">
        <x:v>4</x:v>
      </x:c>
      <x:c r="F6" s="36"/>
    </x:row>
    <x:row r="7" ht="15" hidden="0" customHeight="1">
      <x:c r="A7" s="40" t="str">
        <x:v>星間跳躍機関</x:v>
      </x:c>
      <x:c r="B7" s="40" t="str">
        <x:v>航法核</x:v>
      </x:c>
      <x:c r="C7" s="41" t="n">
        <x:v>1</x:v>
      </x:c>
      <x:c r="D7" s="40" t="str">
        <x:v>中間品</x:v>
      </x:c>
      <x:c r="E7" s="40" t="n">
        <x:v>3</x:v>
      </x:c>
      <x:c r="F7" s="36"/>
    </x:row>
    <x:row r="8" ht="15" hidden="0" customHeight="1">
      <x:c r="A8" s="40" t="str">
        <x:v>航法核</x:v>
      </x:c>
      <x:c r="B8" s="40" t="str">
        <x:v>星紋回路</x:v>
      </x:c>
      <x:c r="C8" s="41" t="n">
        <x:v>3</x:v>
      </x:c>
      <x:c r="D8" s="40" t="str">
        <x:v>中間品</x:v>
      </x:c>
      <x:c r="E8" s="40" t="n">
        <x:v>2</x:v>
      </x:c>
      <x:c r="F8" s="36"/>
    </x:row>
    <x:row r="9" ht="15" hidden="0" customHeight="1">
      <x:c r="A9" s="40" t="str">
        <x:v>星紋回路</x:v>
      </x:c>
      <x:c r="B9" s="40" t="str">
        <x:v>晶片</x:v>
      </x:c>
      <x:c r="C9" s="41" t="n">
        <x:v>6</x:v>
      </x:c>
      <x:c r="D9" s="40" t="str">
        <x:v>中間品</x:v>
      </x:c>
      <x:c r="E9" s="40" t="n">
        <x:v>1</x:v>
      </x:c>
      <x:c r="F9" s="36"/>
    </x:row>
    <x:row r="10" ht="15" hidden="0" customHeight="1">
      <x:c r="A10" s="40" t="str">
        <x:v>晶片</x:v>
      </x:c>
      <x:c r="B10" s="40" t="str">
        <x:v>星紋晶</x:v>
      </x:c>
      <x:c r="C10" s="41" t="n">
        <x:v>12</x:v>
      </x:c>
      <x:c r="D10" s="40" t="str">
        <x:v>原素材</x:v>
      </x:c>
      <x:c r="E10" s="40" t="n">
        <x:v>0</x:v>
      </x:c>
      <x:c r="F10" s="36"/>
    </x:row>
    <x:row r="11" ht="15" hidden="0" customHeight="1">
      <x:c r="A11" s="40" t="str">
        <x:v>星紋回路</x:v>
      </x:c>
      <x:c r="B11" s="40" t="str">
        <x:v>生体配線</x:v>
      </x:c>
      <x:c r="C11" s="41" t="n">
        <x:v>6</x:v>
      </x:c>
      <x:c r="D11" s="40" t="str">
        <x:v>中間品</x:v>
      </x:c>
      <x:c r="E11" s="40" t="n">
        <x:v>2</x:v>
      </x:c>
      <x:c r="F11" s="36"/>
    </x:row>
    <x:row r="12" ht="15" hidden="0" customHeight="1">
      <x:c r="A12" s="40" t="str">
        <x:v>生体配線</x:v>
      </x:c>
      <x:c r="B12" s="40" t="str">
        <x:v>磁束線</x:v>
      </x:c>
      <x:c r="C12" s="41" t="n">
        <x:v>18</x:v>
      </x:c>
      <x:c r="D12" s="40" t="str">
        <x:v>中間品</x:v>
      </x:c>
      <x:c r="E12" s="40" t="n">
        <x:v>1</x:v>
      </x:c>
      <x:c r="F12" s="36"/>
    </x:row>
    <x:row r="13" ht="15" hidden="0" customHeight="1">
      <x:c r="A13" s="40" t="str">
        <x:v>磁束線</x:v>
      </x:c>
      <x:c r="B13" s="40" t="str">
        <x:v>磁角</x:v>
      </x:c>
      <x:c r="C13" s="41" t="n">
        <x:v>36</x:v>
      </x:c>
      <x:c r="D13" s="40" t="str">
        <x:v>原素材</x:v>
      </x:c>
      <x:c r="E13" s="40" t="n">
        <x:v>0</x:v>
      </x:c>
      <x:c r="F13" s="36"/>
    </x:row>
    <x:row r="14" ht="15" hidden="0" customHeight="1">
      <x:c r="A14" s="40" t="str">
        <x:v>磁束線</x:v>
      </x:c>
      <x:c r="B14" s="40" t="str">
        <x:v>軌道絹</x:v>
      </x:c>
      <x:c r="C14" s="41" t="n">
        <x:v>36</x:v>
      </x:c>
      <x:c r="D14" s="40" t="str">
        <x:v>原素材</x:v>
      </x:c>
      <x:c r="E14" s="40" t="n">
        <x:v>0</x:v>
      </x:c>
      <x:c r="F14" s="36"/>
    </x:row>
    <x:row r="15" ht="15" hidden="0" customHeight="1">
      <x:c r="A15" s="40" t="str">
        <x:v>生体配線</x:v>
      </x:c>
      <x:c r="B15" s="40" t="str">
        <x:v>嚢皮</x:v>
      </x:c>
      <x:c r="C15" s="41" t="n">
        <x:v>6</x:v>
      </x:c>
      <x:c r="D15" s="40" t="str">
        <x:v>選別素材</x:v>
      </x:c>
      <x:c r="E15" s="40" t="n">
        <x:v>1</x:v>
      </x:c>
      <x:c r="F15" s="36"/>
    </x:row>
    <x:row r="16" ht="15" hidden="0" customHeight="1">
      <x:c r="A16" s="40" t="str">
        <x:v>航法核</x:v>
      </x:c>
      <x:c r="B16" s="40" t="str">
        <x:v>磁束コイル</x:v>
      </x:c>
      <x:c r="C16" s="41" t="n">
        <x:v>2</x:v>
      </x:c>
      <x:c r="D16" s="40" t="str">
        <x:v>中間品</x:v>
      </x:c>
      <x:c r="E16" s="40" t="n">
        <x:v>2</x:v>
      </x:c>
      <x:c r="F16" s="36"/>
    </x:row>
    <x:row r="17" ht="15" hidden="0" customHeight="1">
      <x:c r="A17" s="40" t="str">
        <x:v>磁束コイル</x:v>
      </x:c>
      <x:c r="B17" s="40" t="str">
        <x:v>生体配線</x:v>
      </x:c>
      <x:c r="C17" s="41" t="n">
        <x:v>4</x:v>
      </x:c>
      <x:c r="D17" s="40" t="str">
        <x:v>中間品</x:v>
      </x:c>
      <x:c r="E17" s="40" t="n">
        <x:v>2</x:v>
      </x:c>
      <x:c r="F17" s="36"/>
    </x:row>
    <x:row r="18" ht="15" hidden="0" customHeight="1">
      <x:c r="A18" s="40" t="str">
        <x:v>生体配線</x:v>
      </x:c>
      <x:c r="B18" s="40" t="str">
        <x:v>磁束線</x:v>
      </x:c>
      <x:c r="C18" s="41" t="n">
        <x:v>12</x:v>
      </x:c>
      <x:c r="D18" s="40" t="str">
        <x:v>中間品</x:v>
      </x:c>
      <x:c r="E18" s="40" t="n">
        <x:v>1</x:v>
      </x:c>
      <x:c r="F18" s="36"/>
    </x:row>
    <x:row r="19" ht="15" hidden="0" customHeight="1">
      <x:c r="A19" s="40" t="str">
        <x:v>磁束線</x:v>
      </x:c>
      <x:c r="B19" s="40" t="str">
        <x:v>磁角</x:v>
      </x:c>
      <x:c r="C19" s="41" t="n">
        <x:v>24</x:v>
      </x:c>
      <x:c r="D19" s="40" t="str">
        <x:v>原素材</x:v>
      </x:c>
      <x:c r="E19" s="40" t="n">
        <x:v>0</x:v>
      </x:c>
      <x:c r="F19" s="36"/>
    </x:row>
    <x:row r="20" ht="15" hidden="0" customHeight="1">
      <x:c r="A20" s="40" t="str">
        <x:v>磁束線</x:v>
      </x:c>
      <x:c r="B20" s="40" t="str">
        <x:v>軌道絹</x:v>
      </x:c>
      <x:c r="C20" s="41" t="n">
        <x:v>24</x:v>
      </x:c>
      <x:c r="D20" s="40" t="str">
        <x:v>原素材</x:v>
      </x:c>
      <x:c r="E20" s="40" t="n">
        <x:v>0</x:v>
      </x:c>
      <x:c r="F20" s="36"/>
    </x:row>
    <x:row r="21" ht="15" hidden="0" customHeight="1">
      <x:c r="A21" s="40" t="str">
        <x:v>生体配線</x:v>
      </x:c>
      <x:c r="B21" s="40" t="str">
        <x:v>嚢皮</x:v>
      </x:c>
      <x:c r="C21" s="41" t="n">
        <x:v>4</x:v>
      </x:c>
      <x:c r="D21" s="40" t="str">
        <x:v>選別素材</x:v>
      </x:c>
      <x:c r="E21" s="40" t="n">
        <x:v>1</x:v>
      </x:c>
      <x:c r="F21" s="36"/>
    </x:row>
    <x:row r="22" ht="15" hidden="0" customHeight="1">
      <x:c r="A22" s="40" t="str">
        <x:v>磁束コイル</x:v>
      </x:c>
      <x:c r="B22" s="40" t="str">
        <x:v>磁芯</x:v>
      </x:c>
      <x:c r="C22" s="41" t="n">
        <x:v>2</x:v>
      </x:c>
      <x:c r="D22" s="40" t="str">
        <x:v>中間品</x:v>
      </x:c>
      <x:c r="E22" s="40" t="n">
        <x:v>1</x:v>
      </x:c>
      <x:c r="F22" s="36"/>
    </x:row>
    <x:row r="23" ht="15" hidden="0" customHeight="1">
      <x:c r="A23" s="40" t="str">
        <x:v>磁芯</x:v>
      </x:c>
      <x:c r="B23" s="40" t="str">
        <x:v>磁角</x:v>
      </x:c>
      <x:c r="C23" s="41" t="n">
        <x:v>4</x:v>
      </x:c>
      <x:c r="D23" s="40" t="str">
        <x:v>原素材</x:v>
      </x:c>
      <x:c r="E23" s="40" t="n">
        <x:v>0</x:v>
      </x:c>
      <x:c r="F23" s="36"/>
    </x:row>
    <x:row r="24" ht="15" hidden="0" customHeight="1">
      <x:c r="A24" s="40" t="str">
        <x:v>航法核</x:v>
      </x:c>
      <x:c r="B24" s="40" t="str">
        <x:v>位相織膜</x:v>
      </x:c>
      <x:c r="C24" s="41" t="n">
        <x:v>1</x:v>
      </x:c>
      <x:c r="D24" s="40" t="str">
        <x:v>中間品</x:v>
      </x:c>
      <x:c r="E24" s="40" t="n">
        <x:v>2</x:v>
      </x:c>
      <x:c r="F24" s="36"/>
    </x:row>
    <x:row r="25" ht="15" hidden="0" customHeight="1">
      <x:c r="A25" s="40" t="str">
        <x:v>位相織膜</x:v>
      </x:c>
      <x:c r="B25" s="40" t="str">
        <x:v>位相粉</x:v>
      </x:c>
      <x:c r="C25" s="41" t="n">
        <x:v>2</x:v>
      </x:c>
      <x:c r="D25" s="40" t="str">
        <x:v>中間品</x:v>
      </x:c>
      <x:c r="E25" s="40" t="n">
        <x:v>1</x:v>
      </x:c>
      <x:c r="F25" s="36"/>
    </x:row>
    <x:row r="26" ht="15" hidden="0" customHeight="1">
      <x:c r="A26" s="40" t="str">
        <x:v>位相粉</x:v>
      </x:c>
      <x:c r="B26" s="40" t="str">
        <x:v>位相片</x:v>
      </x:c>
      <x:c r="C26" s="41" t="n">
        <x:v>4</x:v>
      </x:c>
      <x:c r="D26" s="40" t="str">
        <x:v>原素材</x:v>
      </x:c>
      <x:c r="E26" s="40" t="n">
        <x:v>0</x:v>
      </x:c>
      <x:c r="F26" s="36"/>
    </x:row>
    <x:row r="27" ht="15" hidden="0" customHeight="1">
      <x:c r="A27" s="40" t="str">
        <x:v>位相織膜</x:v>
      </x:c>
      <x:c r="B27" s="40" t="str">
        <x:v>軌道布</x:v>
      </x:c>
      <x:c r="C27" s="41" t="n">
        <x:v>2</x:v>
      </x:c>
      <x:c r="D27" s="40" t="str">
        <x:v>中間品</x:v>
      </x:c>
      <x:c r="E27" s="40" t="n">
        <x:v>1</x:v>
      </x:c>
      <x:c r="F27" s="36"/>
    </x:row>
    <x:row r="28" ht="15" hidden="0" customHeight="1">
      <x:c r="A28" s="40" t="str">
        <x:v>軌道布</x:v>
      </x:c>
      <x:c r="B28" s="40" t="str">
        <x:v>軌道絹</x:v>
      </x:c>
      <x:c r="C28" s="41" t="n">
        <x:v>6</x:v>
      </x:c>
      <x:c r="D28" s="40" t="str">
        <x:v>原素材</x:v>
      </x:c>
      <x:c r="E28" s="40" t="n">
        <x:v>0</x:v>
      </x:c>
      <x:c r="F28" s="36"/>
    </x:row>
    <x:row r="29" ht="15" hidden="0" customHeight="1">
      <x:c r="A29" s="40" t="str">
        <x:v>位相織膜</x:v>
      </x:c>
      <x:c r="B29" s="40" t="str">
        <x:v>熱糸</x:v>
      </x:c>
      <x:c r="C29" s="41" t="n">
        <x:v>1</x:v>
      </x:c>
      <x:c r="D29" s="40" t="str">
        <x:v>選別素材</x:v>
      </x:c>
      <x:c r="E29" s="40" t="n">
        <x:v>1</x:v>
      </x:c>
      <x:c r="F29" s="36"/>
    </x:row>
    <x:row r="30" ht="15" hidden="0" customHeight="1">
      <x:c r="A30" s="40" t="str">
        <x:v>星間跳躍機関</x:v>
      </x:c>
      <x:c r="B30" s="40" t="str">
        <x:v>位相環</x:v>
      </x:c>
      <x:c r="C30" s="41" t="n">
        <x:v>2</x:v>
      </x:c>
      <x:c r="D30" s="40" t="str">
        <x:v>中間品</x:v>
      </x:c>
      <x:c r="E30" s="40" t="n">
        <x:v>3</x:v>
      </x:c>
      <x:c r="F30" s="36"/>
    </x:row>
    <x:row r="31" ht="15" hidden="0" customHeight="1">
      <x:c r="A31" s="40" t="str">
        <x:v>位相環</x:v>
      </x:c>
      <x:c r="B31" s="40" t="str">
        <x:v>骨格梁</x:v>
      </x:c>
      <x:c r="C31" s="41" t="n">
        <x:v>6</x:v>
      </x:c>
      <x:c r="D31" s="40" t="str">
        <x:v>中間品</x:v>
      </x:c>
      <x:c r="E31" s="40" t="n">
        <x:v>2</x:v>
      </x:c>
      <x:c r="F31" s="36"/>
    </x:row>
    <x:row r="32" ht="15" hidden="0" customHeight="1">
      <x:c r="A32" s="40" t="str">
        <x:v>骨格梁</x:v>
      </x:c>
      <x:c r="B32" s="40" t="str">
        <x:v>鱗鉄板</x:v>
      </x:c>
      <x:c r="C32" s="41" t="n">
        <x:v>24</x:v>
      </x:c>
      <x:c r="D32" s="40" t="str">
        <x:v>中間品</x:v>
      </x:c>
      <x:c r="E32" s="40" t="n">
        <x:v>1</x:v>
      </x:c>
      <x:c r="F32" s="36"/>
    </x:row>
    <x:row r="33" ht="15" hidden="0" customHeight="1">
      <x:c r="A33" s="40" t="str">
        <x:v>鱗鉄板</x:v>
      </x:c>
      <x:c r="B33" s="40" t="str">
        <x:v>鉄鱗</x:v>
      </x:c>
      <x:c r="C33" s="41" t="n">
        <x:v>72</x:v>
      </x:c>
      <x:c r="D33" s="40" t="str">
        <x:v>原素材</x:v>
      </x:c>
      <x:c r="E33" s="40" t="n">
        <x:v>0</x:v>
      </x:c>
      <x:c r="F33" s="36"/>
    </x:row>
    <x:row r="34" ht="15" hidden="0" customHeight="1">
      <x:c r="A34" s="40" t="str">
        <x:v>骨格梁</x:v>
      </x:c>
      <x:c r="B34" s="40" t="str">
        <x:v>軌道布</x:v>
      </x:c>
      <x:c r="C34" s="41" t="n">
        <x:v>6</x:v>
      </x:c>
      <x:c r="D34" s="40" t="str">
        <x:v>中間品</x:v>
      </x:c>
      <x:c r="E34" s="40" t="n">
        <x:v>1</x:v>
      </x:c>
      <x:c r="F34" s="36"/>
    </x:row>
    <x:row r="35" ht="15" hidden="0" customHeight="1">
      <x:c r="A35" s="40" t="str">
        <x:v>軌道布</x:v>
      </x:c>
      <x:c r="B35" s="40" t="str">
        <x:v>軌道絹</x:v>
      </x:c>
      <x:c r="C35" s="41" t="n">
        <x:v>18</x:v>
      </x:c>
      <x:c r="D35" s="40" t="str">
        <x:v>原素材</x:v>
      </x:c>
      <x:c r="E35" s="40" t="n">
        <x:v>0</x:v>
      </x:c>
      <x:c r="F35" s="36"/>
    </x:row>
    <x:row r="36" ht="15" hidden="0" customHeight="1">
      <x:c r="A36" s="40" t="str">
        <x:v>位相環</x:v>
      </x:c>
      <x:c r="B36" s="40" t="str">
        <x:v>位相織膜</x:v>
      </x:c>
      <x:c r="C36" s="41" t="n">
        <x:v>8</x:v>
      </x:c>
      <x:c r="D36" s="40" t="str">
        <x:v>中間品</x:v>
      </x:c>
      <x:c r="E36" s="40" t="n">
        <x:v>2</x:v>
      </x:c>
      <x:c r="F36" s="36"/>
    </x:row>
    <x:row r="37" ht="15" hidden="0" customHeight="1">
      <x:c r="A37" s="40" t="str">
        <x:v>位相織膜</x:v>
      </x:c>
      <x:c r="B37" s="40" t="str">
        <x:v>位相粉</x:v>
      </x:c>
      <x:c r="C37" s="41" t="n">
        <x:v>16</x:v>
      </x:c>
      <x:c r="D37" s="40" t="str">
        <x:v>中間品</x:v>
      </x:c>
      <x:c r="E37" s="40" t="n">
        <x:v>1</x:v>
      </x:c>
      <x:c r="F37" s="36"/>
    </x:row>
    <x:row r="38" ht="15" hidden="0" customHeight="1">
      <x:c r="A38" s="40" t="str">
        <x:v>位相粉</x:v>
      </x:c>
      <x:c r="B38" s="40" t="str">
        <x:v>位相片</x:v>
      </x:c>
      <x:c r="C38" s="41" t="n">
        <x:v>32</x:v>
      </x:c>
      <x:c r="D38" s="40" t="str">
        <x:v>原素材</x:v>
      </x:c>
      <x:c r="E38" s="40" t="n">
        <x:v>0</x:v>
      </x:c>
      <x:c r="F38" s="36"/>
    </x:row>
    <x:row r="39" ht="15" hidden="0" customHeight="1">
      <x:c r="A39" s="40" t="str">
        <x:v>位相織膜</x:v>
      </x:c>
      <x:c r="B39" s="40" t="str">
        <x:v>軌道布</x:v>
      </x:c>
      <x:c r="C39" s="41" t="n">
        <x:v>16</x:v>
      </x:c>
      <x:c r="D39" s="40" t="str">
        <x:v>中間品</x:v>
      </x:c>
      <x:c r="E39" s="40" t="n">
        <x:v>1</x:v>
      </x:c>
      <x:c r="F39" s="36"/>
    </x:row>
    <x:row r="40" ht="15" hidden="0" customHeight="1">
      <x:c r="A40" s="40" t="str">
        <x:v>軌道布</x:v>
      </x:c>
      <x:c r="B40" s="40" t="str">
        <x:v>軌道絹</x:v>
      </x:c>
      <x:c r="C40" s="41" t="n">
        <x:v>48</x:v>
      </x:c>
      <x:c r="D40" s="40" t="str">
        <x:v>原素材</x:v>
      </x:c>
      <x:c r="E40" s="40" t="n">
        <x:v>0</x:v>
      </x:c>
      <x:c r="F40" s="36"/>
    </x:row>
    <x:row r="41" ht="15" hidden="0" customHeight="1">
      <x:c r="A41" s="40" t="str">
        <x:v>位相織膜</x:v>
      </x:c>
      <x:c r="B41" s="40" t="str">
        <x:v>熱糸</x:v>
      </x:c>
      <x:c r="C41" s="41" t="n">
        <x:v>8</x:v>
      </x:c>
      <x:c r="D41" s="40" t="str">
        <x:v>選別素材</x:v>
      </x:c>
      <x:c r="E41" s="40" t="n">
        <x:v>1</x:v>
      </x:c>
      <x:c r="F41" s="36"/>
    </x:row>
    <x:row r="42" ht="15" hidden="0" customHeight="1">
      <x:c r="A42" s="40" t="str">
        <x:v>位相環</x:v>
      </x:c>
      <x:c r="B42" s="40" t="str">
        <x:v>磁束コイル</x:v>
      </x:c>
      <x:c r="C42" s="41" t="n">
        <x:v>4</x:v>
      </x:c>
      <x:c r="D42" s="40" t="str">
        <x:v>中間品</x:v>
      </x:c>
      <x:c r="E42" s="40" t="n">
        <x:v>2</x:v>
      </x:c>
      <x:c r="F42" s="36"/>
    </x:row>
    <x:row r="43" ht="15" hidden="0" customHeight="1">
      <x:c r="A43" s="40" t="str">
        <x:v>磁束コイル</x:v>
      </x:c>
      <x:c r="B43" s="40" t="str">
        <x:v>生体配線</x:v>
      </x:c>
      <x:c r="C43" s="41" t="n">
        <x:v>8</x:v>
      </x:c>
      <x:c r="D43" s="40" t="str">
        <x:v>中間品</x:v>
      </x:c>
      <x:c r="E43" s="40" t="n">
        <x:v>2</x:v>
      </x:c>
      <x:c r="F43" s="36"/>
    </x:row>
    <x:row r="44" ht="15" hidden="0" customHeight="1">
      <x:c r="A44" s="40" t="str">
        <x:v>生体配線</x:v>
      </x:c>
      <x:c r="B44" s="40" t="str">
        <x:v>磁束線</x:v>
      </x:c>
      <x:c r="C44" s="41" t="n">
        <x:v>24</x:v>
      </x:c>
      <x:c r="D44" s="40" t="str">
        <x:v>中間品</x:v>
      </x:c>
      <x:c r="E44" s="40" t="n">
        <x:v>1</x:v>
      </x:c>
      <x:c r="F44" s="36"/>
    </x:row>
    <x:row r="45" ht="15" hidden="0" customHeight="1">
      <x:c r="A45" s="40" t="str">
        <x:v>磁束線</x:v>
      </x:c>
      <x:c r="B45" s="40" t="str">
        <x:v>磁角</x:v>
      </x:c>
      <x:c r="C45" s="41" t="n">
        <x:v>48</x:v>
      </x:c>
      <x:c r="D45" s="40" t="str">
        <x:v>原素材</x:v>
      </x:c>
      <x:c r="E45" s="40" t="n">
        <x:v>0</x:v>
      </x:c>
      <x:c r="F45" s="36"/>
    </x:row>
    <x:row r="46" ht="15" hidden="0" customHeight="1">
      <x:c r="A46" s="40" t="str">
        <x:v>磁束線</x:v>
      </x:c>
      <x:c r="B46" s="40" t="str">
        <x:v>軌道絹</x:v>
      </x:c>
      <x:c r="C46" s="41" t="n">
        <x:v>48</x:v>
      </x:c>
      <x:c r="D46" s="40" t="str">
        <x:v>原素材</x:v>
      </x:c>
      <x:c r="E46" s="40" t="n">
        <x:v>0</x:v>
      </x:c>
      <x:c r="F46" s="36"/>
    </x:row>
    <x:row r="47" ht="15" hidden="0" customHeight="1">
      <x:c r="A47" s="40" t="str">
        <x:v>生体配線</x:v>
      </x:c>
      <x:c r="B47" s="40" t="str">
        <x:v>嚢皮</x:v>
      </x:c>
      <x:c r="C47" s="41" t="n">
        <x:v>8</x:v>
      </x:c>
      <x:c r="D47" s="40" t="str">
        <x:v>選別素材</x:v>
      </x:c>
      <x:c r="E47" s="40" t="n">
        <x:v>1</x:v>
      </x:c>
      <x:c r="F47" s="36"/>
    </x:row>
    <x:row r="48" ht="15" hidden="0" customHeight="1">
      <x:c r="A48" s="40" t="str">
        <x:v>磁束コイル</x:v>
      </x:c>
      <x:c r="B48" s="40" t="str">
        <x:v>磁芯</x:v>
      </x:c>
      <x:c r="C48" s="41" t="n">
        <x:v>4</x:v>
      </x:c>
      <x:c r="D48" s="40" t="str">
        <x:v>中間品</x:v>
      </x:c>
      <x:c r="E48" s="40" t="n">
        <x:v>1</x:v>
      </x:c>
      <x:c r="F48" s="36"/>
    </x:row>
    <x:row r="49" ht="15" hidden="0" customHeight="1">
      <x:c r="A49" s="40" t="str">
        <x:v>磁芯</x:v>
      </x:c>
      <x:c r="B49" s="40" t="str">
        <x:v>磁角</x:v>
      </x:c>
      <x:c r="C49" s="41" t="n">
        <x:v>8</x:v>
      </x:c>
      <x:c r="D49" s="40" t="str">
        <x:v>原素材</x:v>
      </x:c>
      <x:c r="E49" s="40" t="n">
        <x:v>0</x:v>
      </x:c>
      <x:c r="F49" s="36"/>
    </x:row>
    <x:row r="50" ht="15" hidden="0" customHeight="1">
      <x:c r="A50" s="40" t="str">
        <x:v>星間跳躍機関</x:v>
      </x:c>
      <x:c r="B50" s="40" t="str">
        <x:v>励起炉</x:v>
      </x:c>
      <x:c r="C50" s="41" t="n">
        <x:v>1</x:v>
      </x:c>
      <x:c r="D50" s="40" t="str">
        <x:v>中間品</x:v>
      </x:c>
      <x:c r="E50" s="40" t="n">
        <x:v>3</x:v>
      </x:c>
      <x:c r="F50" s="36"/>
    </x:row>
    <x:row r="51" ht="15" hidden="0" customHeight="1">
      <x:c r="A51" s="40" t="str">
        <x:v>励起炉</x:v>
      </x:c>
      <x:c r="B51" s="40" t="str">
        <x:v>蓄電胞</x:v>
      </x:c>
      <x:c r="C51" s="41" t="n">
        <x:v>4</x:v>
      </x:c>
      <x:c r="D51" s="40" t="str">
        <x:v>中間品</x:v>
      </x:c>
      <x:c r="E51" s="40" t="n">
        <x:v>2</x:v>
      </x:c>
      <x:c r="F51" s="36"/>
    </x:row>
    <x:row r="52" ht="15" hidden="0" customHeight="1">
      <x:c r="A52" s="40" t="str">
        <x:v>蓄電胞</x:v>
      </x:c>
      <x:c r="B52" s="40" t="str">
        <x:v>磁束線</x:v>
      </x:c>
      <x:c r="C52" s="41" t="n">
        <x:v>16</x:v>
      </x:c>
      <x:c r="D52" s="40" t="str">
        <x:v>中間品</x:v>
      </x:c>
      <x:c r="E52" s="40" t="n">
        <x:v>1</x:v>
      </x:c>
      <x:c r="F52" s="36"/>
    </x:row>
    <x:row r="53" ht="15" hidden="0" customHeight="1">
      <x:c r="A53" s="40" t="str">
        <x:v>磁束線</x:v>
      </x:c>
      <x:c r="B53" s="40" t="str">
        <x:v>磁角</x:v>
      </x:c>
      <x:c r="C53" s="41" t="n">
        <x:v>32</x:v>
      </x:c>
      <x:c r="D53" s="40" t="str">
        <x:v>原素材</x:v>
      </x:c>
      <x:c r="E53" s="40" t="n">
        <x:v>0</x:v>
      </x:c>
      <x:c r="F53" s="36"/>
    </x:row>
    <x:row r="54" ht="15" hidden="0" customHeight="1">
      <x:c r="A54" s="40" t="str">
        <x:v>磁束線</x:v>
      </x:c>
      <x:c r="B54" s="40" t="str">
        <x:v>軌道絹</x:v>
      </x:c>
      <x:c r="C54" s="41" t="n">
        <x:v>32</x:v>
      </x:c>
      <x:c r="D54" s="40" t="str">
        <x:v>原素材</x:v>
      </x:c>
      <x:c r="E54" s="40" t="n">
        <x:v>0</x:v>
      </x:c>
      <x:c r="F54" s="36"/>
    </x:row>
    <x:row r="55" ht="15" hidden="0" customHeight="1">
      <x:c r="A55" s="40" t="str">
        <x:v>蓄電胞</x:v>
      </x:c>
      <x:c r="B55" s="40" t="str">
        <x:v>晶片</x:v>
      </x:c>
      <x:c r="C55" s="41" t="n">
        <x:v>4</x:v>
      </x:c>
      <x:c r="D55" s="40" t="str">
        <x:v>中間品</x:v>
      </x:c>
      <x:c r="E55" s="40" t="n">
        <x:v>1</x:v>
      </x:c>
      <x:c r="F55" s="36"/>
    </x:row>
    <x:row r="56" ht="15" hidden="0" customHeight="1">
      <x:c r="A56" s="40" t="str">
        <x:v>晶片</x:v>
      </x:c>
      <x:c r="B56" s="40" t="str">
        <x:v>星紋晶</x:v>
      </x:c>
      <x:c r="C56" s="41" t="n">
        <x:v>8</x:v>
      </x:c>
      <x:c r="D56" s="40" t="str">
        <x:v>原素材</x:v>
      </x:c>
      <x:c r="E56" s="40" t="n">
        <x:v>0</x:v>
      </x:c>
      <x:c r="F56" s="36"/>
    </x:row>
    <x:row r="57" ht="15" hidden="0" customHeight="1">
      <x:c r="A57" s="40" t="str">
        <x:v>蓄電胞</x:v>
      </x:c>
      <x:c r="B57" s="40" t="str">
        <x:v>芯種</x:v>
      </x:c>
      <x:c r="C57" s="41" t="n">
        <x:v>4</x:v>
      </x:c>
      <x:c r="D57" s="40" t="str">
        <x:v>選別素材</x:v>
      </x:c>
      <x:c r="E57" s="40" t="n">
        <x:v>1</x:v>
      </x:c>
      <x:c r="F57" s="36"/>
    </x:row>
    <x:row r="58" ht="15" hidden="0" customHeight="1">
      <x:c r="A58" s="40" t="str">
        <x:v>励起炉</x:v>
      </x:c>
      <x:c r="B58" s="40" t="str">
        <x:v>星紋回路</x:v>
      </x:c>
      <x:c r="C58" s="41" t="n">
        <x:v>2</x:v>
      </x:c>
      <x:c r="D58" s="40" t="str">
        <x:v>中間品</x:v>
      </x:c>
      <x:c r="E58" s="40" t="n">
        <x:v>2</x:v>
      </x:c>
      <x:c r="F58" s="36"/>
    </x:row>
    <x:row r="59" ht="15" hidden="0" customHeight="1">
      <x:c r="A59" s="40" t="str">
        <x:v>星紋回路</x:v>
      </x:c>
      <x:c r="B59" s="40" t="str">
        <x:v>晶片</x:v>
      </x:c>
      <x:c r="C59" s="41" t="n">
        <x:v>4</x:v>
      </x:c>
      <x:c r="D59" s="40" t="str">
        <x:v>中間品</x:v>
      </x:c>
      <x:c r="E59" s="40" t="n">
        <x:v>1</x:v>
      </x:c>
      <x:c r="F59" s="36"/>
    </x:row>
    <x:row r="60" ht="15" hidden="0" customHeight="1">
      <x:c r="A60" s="40" t="str">
        <x:v>晶片</x:v>
      </x:c>
      <x:c r="B60" s="40" t="str">
        <x:v>星紋晶</x:v>
      </x:c>
      <x:c r="C60" s="41" t="n">
        <x:v>8</x:v>
      </x:c>
      <x:c r="D60" s="40" t="str">
        <x:v>原素材</x:v>
      </x:c>
      <x:c r="E60" s="40" t="n">
        <x:v>0</x:v>
      </x:c>
      <x:c r="F60" s="36"/>
    </x:row>
    <x:row r="61" ht="15" hidden="0" customHeight="1">
      <x:c r="A61" s="40" t="str">
        <x:v>星紋回路</x:v>
      </x:c>
      <x:c r="B61" s="40" t="str">
        <x:v>生体配線</x:v>
      </x:c>
      <x:c r="C61" s="41" t="n">
        <x:v>4</x:v>
      </x:c>
      <x:c r="D61" s="40" t="str">
        <x:v>中間品</x:v>
      </x:c>
      <x:c r="E61" s="40" t="n">
        <x:v>2</x:v>
      </x:c>
      <x:c r="F61" s="36"/>
    </x:row>
    <x:row r="62" ht="15" hidden="0" customHeight="1">
      <x:c r="A62" s="40" t="str">
        <x:v>生体配線</x:v>
      </x:c>
      <x:c r="B62" s="40" t="str">
        <x:v>磁束線</x:v>
      </x:c>
      <x:c r="C62" s="41" t="n">
        <x:v>12</x:v>
      </x:c>
      <x:c r="D62" s="40" t="str">
        <x:v>中間品</x:v>
      </x:c>
      <x:c r="E62" s="40" t="n">
        <x:v>1</x:v>
      </x:c>
      <x:c r="F62" s="36"/>
    </x:row>
    <x:row r="63" ht="15" hidden="0" customHeight="1">
      <x:c r="A63" s="40" t="str">
        <x:v>磁束線</x:v>
      </x:c>
      <x:c r="B63" s="40" t="str">
        <x:v>磁角</x:v>
      </x:c>
      <x:c r="C63" s="41" t="n">
        <x:v>24</x:v>
      </x:c>
      <x:c r="D63" s="40" t="str">
        <x:v>原素材</x:v>
      </x:c>
      <x:c r="E63" s="40" t="n">
        <x:v>0</x:v>
      </x:c>
      <x:c r="F63" s="36"/>
    </x:row>
    <x:row r="64" ht="15" hidden="0" customHeight="1">
      <x:c r="A64" s="40" t="str">
        <x:v>磁束線</x:v>
      </x:c>
      <x:c r="B64" s="40" t="str">
        <x:v>軌道絹</x:v>
      </x:c>
      <x:c r="C64" s="41" t="n">
        <x:v>24</x:v>
      </x:c>
      <x:c r="D64" s="40" t="str">
        <x:v>原素材</x:v>
      </x:c>
      <x:c r="E64" s="40" t="n">
        <x:v>0</x:v>
      </x:c>
      <x:c r="F64" s="36"/>
    </x:row>
    <x:row r="65" ht="15" hidden="0" customHeight="1">
      <x:c r="A65" s="40" t="str">
        <x:v>生体配線</x:v>
      </x:c>
      <x:c r="B65" s="40" t="str">
        <x:v>嚢皮</x:v>
      </x:c>
      <x:c r="C65" s="41" t="n">
        <x:v>4</x:v>
      </x:c>
      <x:c r="D65" s="40" t="str">
        <x:v>選別素材</x:v>
      </x:c>
      <x:c r="E65" s="40" t="n">
        <x:v>1</x:v>
      </x:c>
      <x:c r="F65" s="36"/>
    </x:row>
    <x:row r="66" ht="15" hidden="0" customHeight="1">
      <x:c r="A66" s="40" t="str">
        <x:v>励起炉</x:v>
      </x:c>
      <x:c r="B66" s="40" t="str">
        <x:v>嚢皮</x:v>
      </x:c>
      <x:c r="C66" s="41" t="n">
        <x:v>5</x:v>
      </x:c>
      <x:c r="D66" s="40" t="str">
        <x:v>選別素材</x:v>
      </x:c>
      <x:c r="E66" s="40" t="n">
        <x:v>1</x:v>
      </x:c>
      <x:c r="F66" s="36"/>
    </x:row>
    <x:row r="67" ht="15" hidden="0" customHeight="1">
      <x:c r="A67" s="40" t="str">
        <x:v>星間跳躍機関</x:v>
      </x:c>
      <x:c r="B67" s="40" t="str">
        <x:v>界面制御器</x:v>
      </x:c>
      <x:c r="C67" s="41" t="n">
        <x:v>1</x:v>
      </x:c>
      <x:c r="D67" s="40" t="str">
        <x:v>中間品</x:v>
      </x:c>
      <x:c r="E67" s="40" t="n">
        <x:v>3</x:v>
      </x:c>
      <x:c r="F67" s="36"/>
    </x:row>
    <x:row r="68" ht="15" hidden="0" customHeight="1">
      <x:c r="A68" s="40" t="str">
        <x:v>界面制御器</x:v>
      </x:c>
      <x:c r="B68" s="40" t="str">
        <x:v>位相織膜</x:v>
      </x:c>
      <x:c r="C68" s="41" t="n">
        <x:v>3</x:v>
      </x:c>
      <x:c r="D68" s="40" t="str">
        <x:v>中間品</x:v>
      </x:c>
      <x:c r="E68" s="40" t="n">
        <x:v>2</x:v>
      </x:c>
      <x:c r="F68" s="36"/>
    </x:row>
    <x:row r="69" ht="15" hidden="0" customHeight="1">
      <x:c r="A69" s="40" t="str">
        <x:v>位相織膜</x:v>
      </x:c>
      <x:c r="B69" s="40" t="str">
        <x:v>位相粉</x:v>
      </x:c>
      <x:c r="C69" s="41" t="n">
        <x:v>6</x:v>
      </x:c>
      <x:c r="D69" s="40" t="str">
        <x:v>中間品</x:v>
      </x:c>
      <x:c r="E69" s="40" t="n">
        <x:v>1</x:v>
      </x:c>
      <x:c r="F69" s="36"/>
    </x:row>
    <x:row r="70" ht="15" hidden="0" customHeight="1">
      <x:c r="A70" s="40" t="str">
        <x:v>位相粉</x:v>
      </x:c>
      <x:c r="B70" s="40" t="str">
        <x:v>位相片</x:v>
      </x:c>
      <x:c r="C70" s="41" t="n">
        <x:v>12</x:v>
      </x:c>
      <x:c r="D70" s="40" t="str">
        <x:v>原素材</x:v>
      </x:c>
      <x:c r="E70" s="40" t="n">
        <x:v>0</x:v>
      </x:c>
      <x:c r="F70" s="36"/>
    </x:row>
    <x:row r="71" ht="15" hidden="0" customHeight="1">
      <x:c r="A71" s="40" t="str">
        <x:v>位相織膜</x:v>
      </x:c>
      <x:c r="B71" s="40" t="str">
        <x:v>軌道布</x:v>
      </x:c>
      <x:c r="C71" s="41" t="n">
        <x:v>6</x:v>
      </x:c>
      <x:c r="D71" s="40" t="str">
        <x:v>中間品</x:v>
      </x:c>
      <x:c r="E71" s="40" t="n">
        <x:v>1</x:v>
      </x:c>
      <x:c r="F71" s="36"/>
    </x:row>
    <x:row r="72" ht="15" hidden="0" customHeight="1">
      <x:c r="A72" s="40" t="str">
        <x:v>軌道布</x:v>
      </x:c>
      <x:c r="B72" s="40" t="str">
        <x:v>軌道絹</x:v>
      </x:c>
      <x:c r="C72" s="41" t="n">
        <x:v>18</x:v>
      </x:c>
      <x:c r="D72" s="40" t="str">
        <x:v>原素材</x:v>
      </x:c>
      <x:c r="E72" s="40" t="n">
        <x:v>0</x:v>
      </x:c>
      <x:c r="F72" s="36"/>
    </x:row>
    <x:row r="73" ht="15" hidden="0" customHeight="1">
      <x:c r="A73" s="40" t="str">
        <x:v>位相織膜</x:v>
      </x:c>
      <x:c r="B73" s="40" t="str">
        <x:v>熱糸</x:v>
      </x:c>
      <x:c r="C73" s="41" t="n">
        <x:v>3</x:v>
      </x:c>
      <x:c r="D73" s="40" t="str">
        <x:v>選別素材</x:v>
      </x:c>
      <x:c r="E73" s="40" t="n">
        <x:v>1</x:v>
      </x:c>
      <x:c r="F73" s="36"/>
    </x:row>
    <x:row r="74" ht="15" hidden="0" customHeight="1">
      <x:c r="A74" s="40" t="str">
        <x:v>界面制御器</x:v>
      </x:c>
      <x:c r="B74" s="40" t="str">
        <x:v>星紋回路</x:v>
      </x:c>
      <x:c r="C74" s="41" t="n">
        <x:v>4</x:v>
      </x:c>
      <x:c r="D74" s="40" t="str">
        <x:v>中間品</x:v>
      </x:c>
      <x:c r="E74" s="40" t="n">
        <x:v>2</x:v>
      </x:c>
      <x:c r="F74" s="36"/>
    </x:row>
    <x:row r="75" ht="15" hidden="0" customHeight="1">
      <x:c r="A75" s="40" t="str">
        <x:v>星紋回路</x:v>
      </x:c>
      <x:c r="B75" s="40" t="str">
        <x:v>晶片</x:v>
      </x:c>
      <x:c r="C75" s="41" t="n">
        <x:v>8</x:v>
      </x:c>
      <x:c r="D75" s="40" t="str">
        <x:v>中間品</x:v>
      </x:c>
      <x:c r="E75" s="40" t="n">
        <x:v>1</x:v>
      </x:c>
      <x:c r="F75" s="36"/>
    </x:row>
    <x:row r="76" ht="15" hidden="0" customHeight="1">
      <x:c r="A76" s="40" t="str">
        <x:v>晶片</x:v>
      </x:c>
      <x:c r="B76" s="40" t="str">
        <x:v>星紋晶</x:v>
      </x:c>
      <x:c r="C76" s="41" t="n">
        <x:v>16</x:v>
      </x:c>
      <x:c r="D76" s="40" t="str">
        <x:v>原素材</x:v>
      </x:c>
      <x:c r="E76" s="40" t="n">
        <x:v>0</x:v>
      </x:c>
      <x:c r="F76" s="36"/>
    </x:row>
    <x:row r="77" ht="15" hidden="0" customHeight="1">
      <x:c r="A77" s="40" t="str">
        <x:v>星紋回路</x:v>
      </x:c>
      <x:c r="B77" s="40" t="str">
        <x:v>生体配線</x:v>
      </x:c>
      <x:c r="C77" s="41" t="n">
        <x:v>8</x:v>
      </x:c>
      <x:c r="D77" s="40" t="str">
        <x:v>中間品</x:v>
      </x:c>
      <x:c r="E77" s="40" t="n">
        <x:v>2</x:v>
      </x:c>
      <x:c r="F77" s="36"/>
    </x:row>
    <x:row r="78" ht="15" hidden="0" customHeight="1">
      <x:c r="A78" s="40" t="str">
        <x:v>生体配線</x:v>
      </x:c>
      <x:c r="B78" s="40" t="str">
        <x:v>磁束線</x:v>
      </x:c>
      <x:c r="C78" s="41" t="n">
        <x:v>24</x:v>
      </x:c>
      <x:c r="D78" s="40" t="str">
        <x:v>中間品</x:v>
      </x:c>
      <x:c r="E78" s="40" t="n">
        <x:v>1</x:v>
      </x:c>
      <x:c r="F78" s="36"/>
    </x:row>
    <x:row r="79" ht="15" hidden="0" customHeight="1">
      <x:c r="A79" s="40" t="str">
        <x:v>磁束線</x:v>
      </x:c>
      <x:c r="B79" s="40" t="str">
        <x:v>磁角</x:v>
      </x:c>
      <x:c r="C79" s="41" t="n">
        <x:v>48</x:v>
      </x:c>
      <x:c r="D79" s="40" t="str">
        <x:v>原素材</x:v>
      </x:c>
      <x:c r="E79" s="40" t="n">
        <x:v>0</x:v>
      </x:c>
      <x:c r="F79" s="36"/>
    </x:row>
    <x:row r="80" ht="15" hidden="0" customHeight="1">
      <x:c r="A80" s="40" t="str">
        <x:v>磁束線</x:v>
      </x:c>
      <x:c r="B80" s="40" t="str">
        <x:v>軌道絹</x:v>
      </x:c>
      <x:c r="C80" s="41" t="n">
        <x:v>48</x:v>
      </x:c>
      <x:c r="D80" s="40" t="str">
        <x:v>原素材</x:v>
      </x:c>
      <x:c r="E80" s="40" t="n">
        <x:v>0</x:v>
      </x:c>
      <x:c r="F80" s="36"/>
    </x:row>
    <x:row r="81" ht="15" hidden="0" customHeight="1">
      <x:c r="A81" s="40" t="str">
        <x:v>生体配線</x:v>
      </x:c>
      <x:c r="B81" s="40" t="str">
        <x:v>嚢皮</x:v>
      </x:c>
      <x:c r="C81" s="41" t="n">
        <x:v>8</x:v>
      </x:c>
      <x:c r="D81" s="40" t="str">
        <x:v>選別素材</x:v>
      </x:c>
      <x:c r="E81" s="40" t="n">
        <x:v>1</x:v>
      </x:c>
      <x:c r="F81" s="36"/>
    </x:row>
    <x:row r="82" ht="15" hidden="0" customHeight="1">
      <x:c r="A82" s="40" t="str">
        <x:v>界面制御器</x:v>
      </x:c>
      <x:c r="B82" s="40" t="str">
        <x:v>磁束コイル</x:v>
      </x:c>
      <x:c r="C82" s="41" t="n">
        <x:v>3</x:v>
      </x:c>
      <x:c r="D82" s="40" t="str">
        <x:v>中間品</x:v>
      </x:c>
      <x:c r="E82" s="40" t="n">
        <x:v>2</x:v>
      </x:c>
      <x:c r="F82" s="36"/>
    </x:row>
    <x:row r="83" ht="15" hidden="0" customHeight="1">
      <x:c r="A83" s="40" t="str">
        <x:v>磁束コイル</x:v>
      </x:c>
      <x:c r="B83" s="40" t="str">
        <x:v>生体配線</x:v>
      </x:c>
      <x:c r="C83" s="41" t="n">
        <x:v>6</x:v>
      </x:c>
      <x:c r="D83" s="40" t="str">
        <x:v>中間品</x:v>
      </x:c>
      <x:c r="E83" s="40" t="n">
        <x:v>2</x:v>
      </x:c>
      <x:c r="F83" s="36"/>
    </x:row>
    <x:row r="84" ht="15" hidden="0" customHeight="1">
      <x:c r="A84" s="40" t="str">
        <x:v>生体配線</x:v>
      </x:c>
      <x:c r="B84" s="40" t="str">
        <x:v>磁束線</x:v>
      </x:c>
      <x:c r="C84" s="41" t="n">
        <x:v>18</x:v>
      </x:c>
      <x:c r="D84" s="40" t="str">
        <x:v>中間品</x:v>
      </x:c>
      <x:c r="E84" s="40" t="n">
        <x:v>1</x:v>
      </x:c>
      <x:c r="F84" s="36"/>
    </x:row>
    <x:row r="85" ht="15" hidden="0" customHeight="1">
      <x:c r="A85" s="40" t="str">
        <x:v>磁束線</x:v>
      </x:c>
      <x:c r="B85" s="40" t="str">
        <x:v>磁角</x:v>
      </x:c>
      <x:c r="C85" s="41" t="n">
        <x:v>36</x:v>
      </x:c>
      <x:c r="D85" s="40" t="str">
        <x:v>原素材</x:v>
      </x:c>
      <x:c r="E85" s="40" t="n">
        <x:v>0</x:v>
      </x:c>
      <x:c r="F85" s="36"/>
    </x:row>
    <x:row r="86" ht="15" hidden="0" customHeight="1">
      <x:c r="A86" s="40" t="str">
        <x:v>磁束線</x:v>
      </x:c>
      <x:c r="B86" s="40" t="str">
        <x:v>軌道絹</x:v>
      </x:c>
      <x:c r="C86" s="41" t="n">
        <x:v>36</x:v>
      </x:c>
      <x:c r="D86" s="40" t="str">
        <x:v>原素材</x:v>
      </x:c>
      <x:c r="E86" s="40" t="n">
        <x:v>0</x:v>
      </x:c>
      <x:c r="F86" s="36"/>
    </x:row>
    <x:row r="87" ht="15" hidden="0" customHeight="1">
      <x:c r="A87" s="40" t="str">
        <x:v>生体配線</x:v>
      </x:c>
      <x:c r="B87" s="40" t="str">
        <x:v>嚢皮</x:v>
      </x:c>
      <x:c r="C87" s="41" t="n">
        <x:v>6</x:v>
      </x:c>
      <x:c r="D87" s="40" t="str">
        <x:v>選別素材</x:v>
      </x:c>
      <x:c r="E87" s="40" t="n">
        <x:v>1</x:v>
      </x:c>
      <x:c r="F87" s="36"/>
    </x:row>
    <x:row r="88" ht="15" hidden="0" customHeight="1">
      <x:c r="A88" s="40" t="str">
        <x:v>磁束コイル</x:v>
      </x:c>
      <x:c r="B88" s="40" t="str">
        <x:v>磁芯</x:v>
      </x:c>
      <x:c r="C88" s="41" t="n">
        <x:v>3</x:v>
      </x:c>
      <x:c r="D88" s="40" t="str">
        <x:v>中間品</x:v>
      </x:c>
      <x:c r="E88" s="40" t="n">
        <x:v>1</x:v>
      </x:c>
      <x:c r="F88" s="36"/>
    </x:row>
    <x:row r="89" ht="15" hidden="0" customHeight="1">
      <x:c r="A89" s="40" t="str">
        <x:v>磁芯</x:v>
      </x:c>
      <x:c r="B89" s="40" t="str">
        <x:v>磁角</x:v>
      </x:c>
      <x:c r="C89" s="41" t="n">
        <x:v>6</x:v>
      </x:c>
      <x:c r="D89" s="40" t="str">
        <x:v>原素材</x:v>
      </x:c>
      <x:c r="E89" s="40" t="n">
        <x:v>0</x:v>
      </x:c>
      <x:c r="F89" s="36"/>
    </x:row>
    <x:row r="90" ht="15" hidden="0" customHeight="1">
      <x:c r="A90" s="40" t="str">
        <x:v>星間跳躍機関</x:v>
      </x:c>
      <x:c r="B90" s="40" t="str">
        <x:v>固定架</x:v>
      </x:c>
      <x:c r="C90" s="41" t="n">
        <x:v>1</x:v>
      </x:c>
      <x:c r="D90" s="40" t="str">
        <x:v>中間品</x:v>
      </x:c>
      <x:c r="E90" s="40" t="n">
        <x:v>3</x:v>
      </x:c>
      <x:c r="F90" s="36"/>
    </x:row>
    <x:row r="91" ht="15" hidden="0" customHeight="1">
      <x:c r="A91" s="9" t="str">
        <x:v>固定架</x:v>
      </x:c>
      <x:c r="B91" s="9" t="str">
        <x:v>骨格梁</x:v>
      </x:c>
      <x:c r="C91" s="20" t="n">
        <x:v>4</x:v>
      </x:c>
      <x:c r="D91" s="9" t="str">
        <x:v>中間品</x:v>
      </x:c>
      <x:c r="E91" s="9" t="n">
        <x:v>2</x:v>
      </x:c>
      <x:c r="F91" s="36"/>
    </x:row>
    <x:row r="92">
      <x:c r="A92" s="42" t="str">
        <x:v>骨格梁</x:v>
      </x:c>
      <x:c r="B92" s="42" t="str">
        <x:v>鱗鉄板</x:v>
      </x:c>
      <x:c r="C92" s="42" t="n">
        <x:v>16</x:v>
      </x:c>
      <x:c r="D92" s="42" t="str">
        <x:v>中間品</x:v>
      </x:c>
      <x:c r="E92" s="42" t="n">
        <x:v>1</x:v>
      </x:c>
    </x:row>
    <x:row r="93">
      <x:c r="A93" s="42" t="str">
        <x:v>鱗鉄板</x:v>
      </x:c>
      <x:c r="B93" s="42" t="str">
        <x:v>鉄鱗</x:v>
      </x:c>
      <x:c r="C93" s="42" t="n">
        <x:v>48</x:v>
      </x:c>
      <x:c r="D93" s="42" t="str">
        <x:v>原素材</x:v>
      </x:c>
      <x:c r="E93" s="42" t="n">
        <x:v>0</x:v>
      </x:c>
    </x:row>
    <x:row r="94">
      <x:c r="A94" s="42" t="str">
        <x:v>骨格梁</x:v>
      </x:c>
      <x:c r="B94" s="42" t="str">
        <x:v>軌道布</x:v>
      </x:c>
      <x:c r="C94" s="42" t="n">
        <x:v>4</x:v>
      </x:c>
      <x:c r="D94" s="42" t="str">
        <x:v>中間品</x:v>
      </x:c>
      <x:c r="E94" s="42" t="n">
        <x:v>1</x:v>
      </x:c>
    </x:row>
    <x:row r="95">
      <x:c r="A95" s="42" t="str">
        <x:v>軌道布</x:v>
      </x:c>
      <x:c r="B95" s="42" t="str">
        <x:v>軌道絹</x:v>
      </x:c>
      <x:c r="C95" s="42" t="n">
        <x:v>12</x:v>
      </x:c>
      <x:c r="D95" s="42" t="str">
        <x:v>原素材</x:v>
      </x:c>
      <x:c r="E95" s="42" t="n">
        <x:v>0</x:v>
      </x:c>
    </x:row>
    <x:row r="96">
      <x:c r="A96" s="42" t="str">
        <x:v>固定架</x:v>
      </x:c>
      <x:c r="B96" s="42" t="str">
        <x:v>鱗鉄板</x:v>
      </x:c>
      <x:c r="C96" s="42" t="n">
        <x:v>6</x:v>
      </x:c>
      <x:c r="D96" s="42" t="str">
        <x:v>中間品</x:v>
      </x:c>
      <x:c r="E96" s="42" t="n">
        <x:v>1</x:v>
      </x:c>
    </x:row>
    <x:row r="97">
      <x:c r="A97" s="42" t="str">
        <x:v>鱗鉄板</x:v>
      </x:c>
      <x:c r="B97" s="42" t="str">
        <x:v>鉄鱗</x:v>
      </x:c>
      <x:c r="C97" s="42" t="n">
        <x:v>18</x:v>
      </x:c>
      <x:c r="D97" s="42" t="str">
        <x:v>原素材</x:v>
      </x:c>
      <x:c r="E97" s="42" t="n">
        <x:v>0</x:v>
      </x:c>
    </x:row>
    <x:row r="98">
      <x:c r="A98" s="43" t="str">
        <x:v>熱嚢選別機</x:v>
      </x:c>
      <x:c r="B98" s="43" t="str">
        <x:v>熱嚢</x:v>
      </x:c>
      <x:c r="C98" s="43" t="n">
        <x:v>120</x:v>
      </x:c>
      <x:c r="D98" s="43" t="str">
        <x:v>原素材</x:v>
      </x:c>
      <x:c r="E98" s="43" t="n">
        <x:v>0</x:v>
      </x:c>
    </x:row>
  </x:sheetData>
  <x:mergeCells>
    <x:mergeCell ref="A2:F2"/>
  </x:mergeCells>
  <x:pageMargins left="0.7" right="0.7" top="0.75" bottom="0.75" header="0.3" footer="0.3"/>
</x:worksheet>
</file>